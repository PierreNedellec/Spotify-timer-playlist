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c2e6a3689733cc6/Documents/11 Coding projects/Spotify playlist timer/docs/"/>
    </mc:Choice>
  </mc:AlternateContent>
  <xr:revisionPtr revIDLastSave="677" documentId="11_F25DC773A252ABDACC10483A595B6D8E5BDE58EC" xr6:coauthVersionLast="47" xr6:coauthVersionMax="47" xr10:uidLastSave="{75060041-4E06-4452-B32B-F845C2485F82}"/>
  <bookViews>
    <workbookView xWindow="-108" yWindow="-108" windowWidth="23256" windowHeight="12456" xr2:uid="{00000000-000D-0000-FFFF-FFFF00000000}"/>
  </bookViews>
  <sheets>
    <sheet name="benchmark_results" sheetId="2" r:id="rId1"/>
    <sheet name="Summary" sheetId="3" r:id="rId2"/>
    <sheet name="By Size" sheetId="4" r:id="rId3"/>
    <sheet name="By Target" sheetId="5" r:id="rId4"/>
    <sheet name="Quality &amp; Stability" sheetId="6" r:id="rId5"/>
  </sheets>
  <definedNames>
    <definedName name="ExternalData_1" localSheetId="0" hidden="1">benchmark_results!$A$1:$G$601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9" i="5" l="1"/>
  <c r="AE9" i="5"/>
  <c r="AD9" i="5"/>
  <c r="AC9" i="5"/>
  <c r="AF8" i="5"/>
  <c r="AE8" i="5"/>
  <c r="AD8" i="5"/>
  <c r="AC8" i="5"/>
  <c r="AF7" i="5"/>
  <c r="AE7" i="5"/>
  <c r="AD7" i="5"/>
  <c r="AC7" i="5"/>
  <c r="AF6" i="5"/>
  <c r="AE6" i="5"/>
  <c r="AD6" i="5"/>
  <c r="AC6" i="5"/>
  <c r="AF5" i="5"/>
  <c r="AE5" i="5"/>
  <c r="AD5" i="5"/>
  <c r="AC5" i="5"/>
  <c r="AB5" i="5"/>
  <c r="AB6" i="5"/>
  <c r="AB7" i="5"/>
  <c r="AB8" i="5"/>
  <c r="AB9" i="5"/>
  <c r="AF10" i="4"/>
  <c r="AE10" i="4"/>
  <c r="AD10" i="4"/>
  <c r="AC10" i="4"/>
  <c r="AF9" i="4"/>
  <c r="AE9" i="4"/>
  <c r="AD9" i="4"/>
  <c r="AC9" i="4"/>
  <c r="AF8" i="4"/>
  <c r="AE8" i="4"/>
  <c r="AD8" i="4"/>
  <c r="AC8" i="4"/>
  <c r="AF7" i="4"/>
  <c r="AE7" i="4"/>
  <c r="AD7" i="4"/>
  <c r="AC7" i="4"/>
  <c r="AF6" i="4"/>
  <c r="AE6" i="4"/>
  <c r="AD6" i="4"/>
  <c r="AC6" i="4"/>
  <c r="AF5" i="4"/>
  <c r="AE5" i="4"/>
  <c r="AD5" i="4"/>
  <c r="AC5" i="4"/>
  <c r="AB5" i="4"/>
  <c r="AB6" i="4"/>
  <c r="AB7" i="4"/>
  <c r="AB8" i="4"/>
  <c r="AB9" i="4"/>
  <c r="AB10" i="4"/>
  <c r="Z9" i="5" a="1"/>
  <c r="Z9" i="5" s="1"/>
  <c r="Y9" i="5" a="1"/>
  <c r="Y9" i="5" s="1"/>
  <c r="X9" i="5" a="1"/>
  <c r="X9" i="5" s="1"/>
  <c r="W9" i="5" a="1"/>
  <c r="W9" i="5" s="1"/>
  <c r="Z8" i="5" a="1"/>
  <c r="Z8" i="5" s="1"/>
  <c r="Y8" i="5" a="1"/>
  <c r="Y8" i="5" s="1"/>
  <c r="X8" i="5" a="1"/>
  <c r="X8" i="5" s="1"/>
  <c r="W8" i="5" a="1"/>
  <c r="W8" i="5" s="1"/>
  <c r="Z7" i="5" a="1"/>
  <c r="Z7" i="5" s="1"/>
  <c r="Y7" i="5" a="1"/>
  <c r="Y7" i="5" s="1"/>
  <c r="X7" i="5" a="1"/>
  <c r="X7" i="5" s="1"/>
  <c r="W7" i="5" a="1"/>
  <c r="W7" i="5" s="1"/>
  <c r="Z6" i="5" a="1"/>
  <c r="Z6" i="5" s="1"/>
  <c r="Y6" i="5" a="1"/>
  <c r="Y6" i="5" s="1"/>
  <c r="X6" i="5" a="1"/>
  <c r="X6" i="5" s="1"/>
  <c r="W6" i="5" a="1"/>
  <c r="W6" i="5" s="1"/>
  <c r="Z5" i="5" a="1"/>
  <c r="Z5" i="5" s="1"/>
  <c r="Y5" i="5" a="1"/>
  <c r="Y5" i="5" s="1"/>
  <c r="X5" i="5" a="1"/>
  <c r="X5" i="5" s="1"/>
  <c r="W5" i="5" a="1"/>
  <c r="W5" i="5" s="1"/>
  <c r="V5" i="5"/>
  <c r="V6" i="5"/>
  <c r="V7" i="5"/>
  <c r="V8" i="5"/>
  <c r="V9" i="5"/>
  <c r="Z10" i="4" a="1"/>
  <c r="Z10" i="4" s="1"/>
  <c r="Y10" i="4" a="1"/>
  <c r="Y10" i="4" s="1"/>
  <c r="X10" i="4" a="1"/>
  <c r="X10" i="4" s="1"/>
  <c r="W10" i="4" a="1"/>
  <c r="W10" i="4" s="1"/>
  <c r="Z9" i="4" a="1"/>
  <c r="Z9" i="4" s="1"/>
  <c r="Y9" i="4" a="1"/>
  <c r="Y9" i="4" s="1"/>
  <c r="X9" i="4" a="1"/>
  <c r="X9" i="4" s="1"/>
  <c r="W9" i="4" a="1"/>
  <c r="W9" i="4" s="1"/>
  <c r="Z8" i="4" a="1"/>
  <c r="Z8" i="4" s="1"/>
  <c r="Y8" i="4" a="1"/>
  <c r="Y8" i="4" s="1"/>
  <c r="X8" i="4" a="1"/>
  <c r="X8" i="4" s="1"/>
  <c r="W8" i="4" a="1"/>
  <c r="W8" i="4" s="1"/>
  <c r="Z7" i="4" a="1"/>
  <c r="Z7" i="4" s="1"/>
  <c r="Y7" i="4" a="1"/>
  <c r="Y7" i="4" s="1"/>
  <c r="X7" i="4" a="1"/>
  <c r="X7" i="4" s="1"/>
  <c r="W7" i="4" a="1"/>
  <c r="W7" i="4" s="1"/>
  <c r="Z6" i="4" a="1"/>
  <c r="Z6" i="4" s="1"/>
  <c r="Y6" i="4" a="1"/>
  <c r="Y6" i="4" s="1"/>
  <c r="X6" i="4" a="1"/>
  <c r="X6" i="4" s="1"/>
  <c r="W6" i="4" a="1"/>
  <c r="W6" i="4" s="1"/>
  <c r="Z5" i="4" a="1"/>
  <c r="Z5" i="4" s="1"/>
  <c r="Y5" i="4" a="1"/>
  <c r="Y5" i="4" s="1"/>
  <c r="X5" i="4" a="1"/>
  <c r="X5" i="4" s="1"/>
  <c r="W5" i="4" a="1"/>
  <c r="W5" i="4" s="1"/>
  <c r="V10" i="4"/>
  <c r="V9" i="4"/>
  <c r="V8" i="4"/>
  <c r="V7" i="4"/>
  <c r="V6" i="4"/>
  <c r="V5" i="4"/>
  <c r="R16" i="6"/>
  <c r="Q16" i="6"/>
  <c r="P16" i="6"/>
  <c r="O16" i="6"/>
  <c r="N16" i="6"/>
  <c r="S16" i="6" s="1"/>
  <c r="R15" i="6"/>
  <c r="Q15" i="6"/>
  <c r="P15" i="6"/>
  <c r="O15" i="6"/>
  <c r="N15" i="6"/>
  <c r="S15" i="6" s="1"/>
  <c r="R14" i="6"/>
  <c r="Q14" i="6"/>
  <c r="P14" i="6"/>
  <c r="O14" i="6"/>
  <c r="N14" i="6"/>
  <c r="S14" i="6" s="1"/>
  <c r="R9" i="6" a="1"/>
  <c r="R9" i="6" s="1"/>
  <c r="Q9" i="6" a="1"/>
  <c r="Q9" i="6" s="1"/>
  <c r="P9" i="6" a="1"/>
  <c r="P9" i="6" s="1"/>
  <c r="O9" i="6" a="1"/>
  <c r="O9" i="6" s="1"/>
  <c r="N9" i="6" a="1"/>
  <c r="N9" i="6" s="1"/>
  <c r="R8" i="6" a="1"/>
  <c r="R8" i="6" s="1"/>
  <c r="Q8" i="6"/>
  <c r="Q8" i="6" a="1"/>
  <c r="P8" i="6" a="1"/>
  <c r="P8" i="6" s="1"/>
  <c r="O8" i="6"/>
  <c r="O8" i="6" a="1"/>
  <c r="N8" i="6" a="1"/>
  <c r="N8" i="6" s="1"/>
  <c r="R7" i="6" a="1"/>
  <c r="R7" i="6" s="1"/>
  <c r="Q7" i="6" a="1"/>
  <c r="Q7" i="6" s="1"/>
  <c r="P7" i="6" a="1"/>
  <c r="P7" i="6" s="1"/>
  <c r="O7" i="6" a="1"/>
  <c r="O7" i="6" s="1"/>
  <c r="N7" i="6" a="1"/>
  <c r="N7" i="6" s="1"/>
  <c r="R13" i="6"/>
  <c r="Q13" i="6"/>
  <c r="P13" i="6"/>
  <c r="O13" i="6"/>
  <c r="S13" i="6" s="1"/>
  <c r="R6" i="6" a="1"/>
  <c r="R6" i="6" s="1"/>
  <c r="Q6" i="6" a="1"/>
  <c r="Q6" i="6" s="1"/>
  <c r="P6" i="6" a="1"/>
  <c r="P6" i="6" s="1"/>
  <c r="O6" i="6" a="1"/>
  <c r="O6" i="6" s="1"/>
  <c r="S6" i="6" s="1"/>
  <c r="N13" i="6"/>
  <c r="N6" i="6" a="1"/>
  <c r="N6" i="6" s="1"/>
  <c r="B24" i="6" a="1"/>
  <c r="B24" i="6" s="1"/>
  <c r="B23" i="6" a="1"/>
  <c r="B23" i="6" s="1"/>
  <c r="B22" i="6" a="1"/>
  <c r="B22" i="6" s="1"/>
  <c r="B21" i="6" a="1"/>
  <c r="B21" i="6" s="1"/>
  <c r="B20" i="6" a="1"/>
  <c r="B20" i="6" s="1"/>
  <c r="B17" i="6"/>
  <c r="B16" i="6"/>
  <c r="B15" i="6"/>
  <c r="B14" i="6"/>
  <c r="B11" i="6" a="1"/>
  <c r="B11" i="6" s="1"/>
  <c r="C10" i="6"/>
  <c r="B10" i="6"/>
  <c r="B9" i="6"/>
  <c r="B8" i="6"/>
  <c r="B7" i="6"/>
  <c r="B6" i="6"/>
  <c r="B5" i="6"/>
  <c r="C180" i="6" a="1"/>
  <c r="C180" i="6" s="1"/>
  <c r="B180" i="6" a="1"/>
  <c r="B180" i="6" s="1"/>
  <c r="A180" i="6"/>
  <c r="K180" i="6" s="1"/>
  <c r="C179" i="6" a="1"/>
  <c r="C179" i="6" s="1"/>
  <c r="B179" i="6" a="1"/>
  <c r="B179" i="6" s="1"/>
  <c r="A179" i="6"/>
  <c r="C178" i="6" a="1"/>
  <c r="C178" i="6" s="1"/>
  <c r="B178" i="6"/>
  <c r="B178" i="6" a="1"/>
  <c r="A178" i="6"/>
  <c r="E178" i="6" s="1"/>
  <c r="C177" i="6" a="1"/>
  <c r="C177" i="6" s="1"/>
  <c r="B177" i="6"/>
  <c r="B177" i="6" a="1"/>
  <c r="A177" i="6"/>
  <c r="F176" i="6"/>
  <c r="E176" i="6"/>
  <c r="D176" i="6"/>
  <c r="C176" i="6"/>
  <c r="K176" i="6" s="1"/>
  <c r="C176" i="6" a="1"/>
  <c r="B176" i="6"/>
  <c r="B176" i="6" a="1"/>
  <c r="A176" i="6"/>
  <c r="G176" i="6" s="1"/>
  <c r="C175" i="6"/>
  <c r="C175" i="6" a="1"/>
  <c r="B175" i="6"/>
  <c r="B175" i="6" a="1"/>
  <c r="A175" i="6"/>
  <c r="G175" i="6" s="1"/>
  <c r="C174" i="6"/>
  <c r="C174" i="6" a="1"/>
  <c r="B174" i="6" a="1"/>
  <c r="B174" i="6" s="1"/>
  <c r="A174" i="6"/>
  <c r="C173" i="6"/>
  <c r="C173" i="6" a="1"/>
  <c r="B173" i="6" a="1"/>
  <c r="B173" i="6" s="1"/>
  <c r="A173" i="6"/>
  <c r="C172" i="6" a="1"/>
  <c r="C172" i="6" s="1"/>
  <c r="B172" i="6" a="1"/>
  <c r="B172" i="6" s="1"/>
  <c r="J172" i="6" s="1"/>
  <c r="A172" i="6"/>
  <c r="G171" i="6"/>
  <c r="F171" i="6"/>
  <c r="H171" i="6" s="1"/>
  <c r="E171" i="6"/>
  <c r="C171" i="6" a="1"/>
  <c r="C171" i="6" s="1"/>
  <c r="B171" i="6" a="1"/>
  <c r="B171" i="6" s="1"/>
  <c r="A171" i="6"/>
  <c r="C170" i="6"/>
  <c r="C170" i="6" a="1"/>
  <c r="B170" i="6"/>
  <c r="B170" i="6" a="1"/>
  <c r="A170" i="6"/>
  <c r="C169" i="6" a="1"/>
  <c r="C169" i="6" s="1"/>
  <c r="G169" i="6" s="1"/>
  <c r="B169" i="6"/>
  <c r="B169" i="6" a="1"/>
  <c r="A169" i="6"/>
  <c r="F168" i="6"/>
  <c r="H168" i="6" s="1"/>
  <c r="E168" i="6"/>
  <c r="D168" i="6"/>
  <c r="I168" i="6" s="1"/>
  <c r="C168" i="6"/>
  <c r="K168" i="6" s="1"/>
  <c r="C168" i="6" a="1"/>
  <c r="B168" i="6"/>
  <c r="B168" i="6" a="1"/>
  <c r="A168" i="6"/>
  <c r="G168" i="6" s="1"/>
  <c r="C167" i="6" a="1"/>
  <c r="C167" i="6" s="1"/>
  <c r="B167" i="6"/>
  <c r="B167" i="6" a="1"/>
  <c r="A167" i="6"/>
  <c r="G166" i="6"/>
  <c r="F166" i="6"/>
  <c r="H166" i="6" s="1"/>
  <c r="C166" i="6"/>
  <c r="C166" i="6" a="1"/>
  <c r="B166" i="6" a="1"/>
  <c r="B166" i="6" s="1"/>
  <c r="A166" i="6"/>
  <c r="C165" i="6"/>
  <c r="D165" i="6" s="1"/>
  <c r="C165" i="6" a="1"/>
  <c r="B165" i="6" a="1"/>
  <c r="B165" i="6" s="1"/>
  <c r="A165" i="6"/>
  <c r="C164" i="6" a="1"/>
  <c r="C164" i="6" s="1"/>
  <c r="B164" i="6"/>
  <c r="J164" i="6" s="1"/>
  <c r="B164" i="6" a="1"/>
  <c r="A164" i="6"/>
  <c r="G163" i="6"/>
  <c r="C163" i="6" a="1"/>
  <c r="C163" i="6" s="1"/>
  <c r="B163" i="6" a="1"/>
  <c r="B163" i="6" s="1"/>
  <c r="A163" i="6"/>
  <c r="K162" i="6"/>
  <c r="J162" i="6"/>
  <c r="D162" i="6"/>
  <c r="C162" i="6" a="1"/>
  <c r="C162" i="6" s="1"/>
  <c r="B162" i="6"/>
  <c r="B162" i="6" a="1"/>
  <c r="A162" i="6"/>
  <c r="C161" i="6" a="1"/>
  <c r="C161" i="6" s="1"/>
  <c r="B161" i="6"/>
  <c r="G161" i="6" s="1"/>
  <c r="B161" i="6" a="1"/>
  <c r="A161" i="6"/>
  <c r="F160" i="6"/>
  <c r="H160" i="6" s="1"/>
  <c r="E160" i="6"/>
  <c r="D160" i="6"/>
  <c r="I160" i="6" s="1"/>
  <c r="C160" i="6"/>
  <c r="K160" i="6" s="1"/>
  <c r="C160" i="6" a="1"/>
  <c r="B160" i="6"/>
  <c r="B160" i="6" a="1"/>
  <c r="A160" i="6"/>
  <c r="G160" i="6" s="1"/>
  <c r="C159" i="6"/>
  <c r="C159" i="6" a="1"/>
  <c r="B159" i="6"/>
  <c r="B159" i="6" a="1"/>
  <c r="A159" i="6"/>
  <c r="F158" i="6"/>
  <c r="H158" i="6" s="1"/>
  <c r="C158" i="6"/>
  <c r="C158" i="6" a="1"/>
  <c r="B158" i="6" a="1"/>
  <c r="B158" i="6" s="1"/>
  <c r="G158" i="6" s="1"/>
  <c r="A158" i="6"/>
  <c r="C157" i="6"/>
  <c r="C157" i="6" a="1"/>
  <c r="B157" i="6" a="1"/>
  <c r="B157" i="6" s="1"/>
  <c r="A157" i="6"/>
  <c r="C156" i="6" a="1"/>
  <c r="C156" i="6" s="1"/>
  <c r="B156" i="6"/>
  <c r="J156" i="6" s="1"/>
  <c r="B156" i="6" a="1"/>
  <c r="A156" i="6"/>
  <c r="G155" i="6"/>
  <c r="C155" i="6" a="1"/>
  <c r="C155" i="6" s="1"/>
  <c r="B155" i="6" a="1"/>
  <c r="B155" i="6" s="1"/>
  <c r="A155" i="6"/>
  <c r="K154" i="6"/>
  <c r="D154" i="6"/>
  <c r="C154" i="6"/>
  <c r="C154" i="6" a="1"/>
  <c r="B154" i="6"/>
  <c r="B154" i="6" a="1"/>
  <c r="A154" i="6"/>
  <c r="G153" i="6"/>
  <c r="C153" i="6" a="1"/>
  <c r="C153" i="6" s="1"/>
  <c r="B153" i="6" a="1"/>
  <c r="B153" i="6" s="1"/>
  <c r="F153" i="6" s="1"/>
  <c r="A153" i="6"/>
  <c r="E152" i="6"/>
  <c r="D152" i="6"/>
  <c r="C152" i="6"/>
  <c r="C152" i="6" a="1"/>
  <c r="B152" i="6"/>
  <c r="B152" i="6" a="1"/>
  <c r="A152" i="6"/>
  <c r="C151" i="6"/>
  <c r="C151" i="6" a="1"/>
  <c r="B151" i="6" a="1"/>
  <c r="B151" i="6" s="1"/>
  <c r="A151" i="6"/>
  <c r="G150" i="6"/>
  <c r="F150" i="6"/>
  <c r="H150" i="6" s="1"/>
  <c r="E150" i="6"/>
  <c r="C150" i="6"/>
  <c r="C150" i="6" a="1"/>
  <c r="B150" i="6" a="1"/>
  <c r="B150" i="6" s="1"/>
  <c r="A150" i="6"/>
  <c r="E149" i="6"/>
  <c r="D149" i="6"/>
  <c r="C149" i="6"/>
  <c r="K149" i="6" s="1"/>
  <c r="C149" i="6" a="1"/>
  <c r="B149" i="6" a="1"/>
  <c r="B149" i="6" s="1"/>
  <c r="A149" i="6"/>
  <c r="G148" i="6"/>
  <c r="C148" i="6" a="1"/>
  <c r="C148" i="6" s="1"/>
  <c r="B148" i="6" a="1"/>
  <c r="B148" i="6" s="1"/>
  <c r="J148" i="6" s="1"/>
  <c r="A148" i="6"/>
  <c r="G147" i="6"/>
  <c r="D147" i="6"/>
  <c r="C147" i="6" a="1"/>
  <c r="C147" i="6" s="1"/>
  <c r="B147" i="6" a="1"/>
  <c r="B147" i="6" s="1"/>
  <c r="A147" i="6"/>
  <c r="C146" i="6"/>
  <c r="C146" i="6" a="1"/>
  <c r="B146" i="6"/>
  <c r="B146" i="6" a="1"/>
  <c r="A146" i="6"/>
  <c r="F145" i="6"/>
  <c r="C145" i="6" a="1"/>
  <c r="C145" i="6" s="1"/>
  <c r="G145" i="6" s="1"/>
  <c r="B145" i="6"/>
  <c r="B145" i="6" a="1"/>
  <c r="A145" i="6"/>
  <c r="K144" i="6"/>
  <c r="F144" i="6"/>
  <c r="D144" i="6"/>
  <c r="C144" i="6"/>
  <c r="E144" i="6" s="1"/>
  <c r="C144" i="6" a="1"/>
  <c r="B144" i="6"/>
  <c r="B144" i="6" a="1"/>
  <c r="A144" i="6"/>
  <c r="G144" i="6" s="1"/>
  <c r="K143" i="6"/>
  <c r="J143" i="6"/>
  <c r="C143" i="6"/>
  <c r="C143" i="6" a="1"/>
  <c r="B143" i="6" a="1"/>
  <c r="B143" i="6" s="1"/>
  <c r="A143" i="6"/>
  <c r="G143" i="6" s="1"/>
  <c r="C142" i="6"/>
  <c r="C142" i="6" a="1"/>
  <c r="B142" i="6" a="1"/>
  <c r="B142" i="6" s="1"/>
  <c r="A142" i="6"/>
  <c r="F142" i="6" s="1"/>
  <c r="K141" i="6"/>
  <c r="J141" i="6"/>
  <c r="E141" i="6"/>
  <c r="D141" i="6"/>
  <c r="C141" i="6"/>
  <c r="C141" i="6" a="1"/>
  <c r="B141" i="6" a="1"/>
  <c r="B141" i="6" s="1"/>
  <c r="A141" i="6"/>
  <c r="G141" i="6" s="1"/>
  <c r="J140" i="6"/>
  <c r="G140" i="6"/>
  <c r="C140" i="6" a="1"/>
  <c r="C140" i="6" s="1"/>
  <c r="B140" i="6" a="1"/>
  <c r="B140" i="6" s="1"/>
  <c r="A140" i="6"/>
  <c r="C139" i="6" a="1"/>
  <c r="C139" i="6" s="1"/>
  <c r="E139" i="6" s="1"/>
  <c r="B139" i="6" a="1"/>
  <c r="B139" i="6" s="1"/>
  <c r="A139" i="6"/>
  <c r="C138" i="6" a="1"/>
  <c r="C138" i="6" s="1"/>
  <c r="K138" i="6" s="1"/>
  <c r="B138" i="6"/>
  <c r="B138" i="6" a="1"/>
  <c r="A138" i="6"/>
  <c r="C137" i="6" a="1"/>
  <c r="C137" i="6" s="1"/>
  <c r="B137" i="6" a="1"/>
  <c r="B137" i="6" s="1"/>
  <c r="F137" i="6" s="1"/>
  <c r="A137" i="6"/>
  <c r="F136" i="6"/>
  <c r="E136" i="6"/>
  <c r="C136" i="6"/>
  <c r="K136" i="6" s="1"/>
  <c r="C136" i="6" a="1"/>
  <c r="B136" i="6"/>
  <c r="B136" i="6" a="1"/>
  <c r="A136" i="6"/>
  <c r="K135" i="6"/>
  <c r="J135" i="6"/>
  <c r="C135" i="6" a="1"/>
  <c r="C135" i="6" s="1"/>
  <c r="B135" i="6"/>
  <c r="B135" i="6" a="1"/>
  <c r="A135" i="6"/>
  <c r="G134" i="6"/>
  <c r="C134" i="6"/>
  <c r="C134" i="6" a="1"/>
  <c r="B134" i="6" a="1"/>
  <c r="B134" i="6" s="1"/>
  <c r="F134" i="6" s="1"/>
  <c r="H134" i="6" s="1"/>
  <c r="A134" i="6"/>
  <c r="C133" i="6" a="1"/>
  <c r="C133" i="6" s="1"/>
  <c r="B133" i="6" a="1"/>
  <c r="B133" i="6" s="1"/>
  <c r="A133" i="6"/>
  <c r="C132" i="6" a="1"/>
  <c r="C132" i="6" s="1"/>
  <c r="B132" i="6" a="1"/>
  <c r="B132" i="6" s="1"/>
  <c r="A132" i="6"/>
  <c r="C131" i="6" a="1"/>
  <c r="C131" i="6" s="1"/>
  <c r="G131" i="6" s="1"/>
  <c r="B131" i="6" a="1"/>
  <c r="B131" i="6" s="1"/>
  <c r="A131" i="6"/>
  <c r="C130" i="6" a="1"/>
  <c r="C130" i="6" s="1"/>
  <c r="B130" i="6"/>
  <c r="K130" i="6" s="1"/>
  <c r="B130" i="6" a="1"/>
  <c r="A130" i="6"/>
  <c r="C129" i="6" a="1"/>
  <c r="C129" i="6" s="1"/>
  <c r="B129" i="6" a="1"/>
  <c r="B129" i="6" s="1"/>
  <c r="A129" i="6"/>
  <c r="C128" i="6"/>
  <c r="C128" i="6" a="1"/>
  <c r="B128" i="6"/>
  <c r="B128" i="6" a="1"/>
  <c r="A128" i="6"/>
  <c r="C127" i="6"/>
  <c r="K127" i="6" s="1"/>
  <c r="C127" i="6" a="1"/>
  <c r="B127" i="6" a="1"/>
  <c r="B127" i="6" s="1"/>
  <c r="A127" i="6"/>
  <c r="C126" i="6"/>
  <c r="C126" i="6" a="1"/>
  <c r="B126" i="6" a="1"/>
  <c r="B126" i="6" s="1"/>
  <c r="A126" i="6"/>
  <c r="E125" i="6"/>
  <c r="C125" i="6" a="1"/>
  <c r="C125" i="6" s="1"/>
  <c r="K125" i="6" s="1"/>
  <c r="B125" i="6" a="1"/>
  <c r="B125" i="6" s="1"/>
  <c r="A125" i="6"/>
  <c r="J124" i="6"/>
  <c r="C124" i="6" a="1"/>
  <c r="C124" i="6" s="1"/>
  <c r="G124" i="6" s="1"/>
  <c r="B124" i="6" a="1"/>
  <c r="B124" i="6" s="1"/>
  <c r="A124" i="6"/>
  <c r="C123" i="6" a="1"/>
  <c r="C123" i="6" s="1"/>
  <c r="B123" i="6" a="1"/>
  <c r="B123" i="6" s="1"/>
  <c r="A123" i="6"/>
  <c r="C122" i="6" a="1"/>
  <c r="C122" i="6" s="1"/>
  <c r="K122" i="6" s="1"/>
  <c r="B122" i="6"/>
  <c r="B122" i="6" a="1"/>
  <c r="A122" i="6"/>
  <c r="C121" i="6" a="1"/>
  <c r="C121" i="6" s="1"/>
  <c r="B121" i="6" a="1"/>
  <c r="B121" i="6" s="1"/>
  <c r="A121" i="6"/>
  <c r="K120" i="6"/>
  <c r="E120" i="6"/>
  <c r="C120" i="6"/>
  <c r="F120" i="6" s="1"/>
  <c r="C120" i="6" a="1"/>
  <c r="B120" i="6"/>
  <c r="B120" i="6" a="1"/>
  <c r="A120" i="6"/>
  <c r="G120" i="6" s="1"/>
  <c r="C119" i="6" a="1"/>
  <c r="C119" i="6" s="1"/>
  <c r="B119" i="6"/>
  <c r="B119" i="6" a="1"/>
  <c r="A119" i="6"/>
  <c r="K118" i="6"/>
  <c r="G118" i="6"/>
  <c r="F118" i="6"/>
  <c r="H118" i="6" s="1"/>
  <c r="E118" i="6"/>
  <c r="C118" i="6"/>
  <c r="C118" i="6" a="1"/>
  <c r="B118" i="6"/>
  <c r="B118" i="6" a="1"/>
  <c r="A118" i="6"/>
  <c r="J117" i="6"/>
  <c r="C117" i="6"/>
  <c r="D117" i="6" s="1"/>
  <c r="C117" i="6" a="1"/>
  <c r="B117" i="6" a="1"/>
  <c r="B117" i="6" s="1"/>
  <c r="A117" i="6"/>
  <c r="G117" i="6" s="1"/>
  <c r="C116" i="6" a="1"/>
  <c r="C116" i="6" s="1"/>
  <c r="B116" i="6"/>
  <c r="B116" i="6" a="1"/>
  <c r="A116" i="6"/>
  <c r="C115" i="6" a="1"/>
  <c r="C115" i="6" s="1"/>
  <c r="B115" i="6" a="1"/>
  <c r="B115" i="6" s="1"/>
  <c r="A115" i="6"/>
  <c r="E114" i="6"/>
  <c r="C114" i="6"/>
  <c r="C114" i="6" a="1"/>
  <c r="B114" i="6"/>
  <c r="B114" i="6" a="1"/>
  <c r="A114" i="6"/>
  <c r="K114" i="6" s="1"/>
  <c r="C113" i="6" a="1"/>
  <c r="C113" i="6" s="1"/>
  <c r="F113" i="6" s="1"/>
  <c r="B113" i="6"/>
  <c r="B113" i="6" a="1"/>
  <c r="A113" i="6"/>
  <c r="D113" i="6" s="1"/>
  <c r="C112" i="6"/>
  <c r="C112" i="6" a="1"/>
  <c r="B112" i="6"/>
  <c r="B112" i="6" a="1"/>
  <c r="A112" i="6"/>
  <c r="K111" i="6"/>
  <c r="C111" i="6"/>
  <c r="C111" i="6" a="1"/>
  <c r="B111" i="6" a="1"/>
  <c r="B111" i="6" s="1"/>
  <c r="A111" i="6"/>
  <c r="C110" i="6"/>
  <c r="C110" i="6" a="1"/>
  <c r="B110" i="6" a="1"/>
  <c r="B110" i="6" s="1"/>
  <c r="A110" i="6"/>
  <c r="F109" i="6"/>
  <c r="E109" i="6"/>
  <c r="C109" i="6"/>
  <c r="C109" i="6" a="1"/>
  <c r="B109" i="6" a="1"/>
  <c r="B109" i="6" s="1"/>
  <c r="A109" i="6"/>
  <c r="F108" i="6"/>
  <c r="C108" i="6" a="1"/>
  <c r="C108" i="6" s="1"/>
  <c r="J108" i="6" s="1"/>
  <c r="B108" i="6" a="1"/>
  <c r="B108" i="6" s="1"/>
  <c r="A108" i="6"/>
  <c r="E107" i="6"/>
  <c r="C107" i="6" a="1"/>
  <c r="C107" i="6" s="1"/>
  <c r="B107" i="6"/>
  <c r="B107" i="6" a="1"/>
  <c r="A107" i="6"/>
  <c r="F106" i="6"/>
  <c r="C106" i="6" a="1"/>
  <c r="C106" i="6" s="1"/>
  <c r="B106" i="6"/>
  <c r="B106" i="6" a="1"/>
  <c r="A106" i="6"/>
  <c r="F105" i="6"/>
  <c r="E105" i="6"/>
  <c r="D105" i="6"/>
  <c r="C105" i="6" a="1"/>
  <c r="C105" i="6" s="1"/>
  <c r="B105" i="6"/>
  <c r="J105" i="6" s="1"/>
  <c r="B105" i="6" a="1"/>
  <c r="A105" i="6"/>
  <c r="K104" i="6"/>
  <c r="J104" i="6"/>
  <c r="G104" i="6"/>
  <c r="C104" i="6" a="1"/>
  <c r="C104" i="6" s="1"/>
  <c r="B104" i="6"/>
  <c r="B104" i="6" a="1"/>
  <c r="A104" i="6"/>
  <c r="E103" i="6"/>
  <c r="C103" i="6"/>
  <c r="D103" i="6" s="1"/>
  <c r="C103" i="6" a="1"/>
  <c r="B103" i="6" a="1"/>
  <c r="B103" i="6" s="1"/>
  <c r="A103" i="6"/>
  <c r="J102" i="6"/>
  <c r="C102" i="6" a="1"/>
  <c r="C102" i="6" s="1"/>
  <c r="F102" i="6" s="1"/>
  <c r="H102" i="6" s="1"/>
  <c r="B102" i="6" a="1"/>
  <c r="B102" i="6" s="1"/>
  <c r="A102" i="6"/>
  <c r="G102" i="6" s="1"/>
  <c r="C101" i="6" a="1"/>
  <c r="C101" i="6" s="1"/>
  <c r="B101" i="6" a="1"/>
  <c r="B101" i="6" s="1"/>
  <c r="A101" i="6"/>
  <c r="C100" i="6" a="1"/>
  <c r="C100" i="6" s="1"/>
  <c r="B100" i="6" a="1"/>
  <c r="B100" i="6" s="1"/>
  <c r="E100" i="6" s="1"/>
  <c r="A100" i="6"/>
  <c r="C99" i="6" a="1"/>
  <c r="C99" i="6" s="1"/>
  <c r="B99" i="6" a="1"/>
  <c r="B99" i="6" s="1"/>
  <c r="E99" i="6" s="1"/>
  <c r="A99" i="6"/>
  <c r="C98" i="6" a="1"/>
  <c r="C98" i="6" s="1"/>
  <c r="B98" i="6" a="1"/>
  <c r="B98" i="6" s="1"/>
  <c r="A98" i="6"/>
  <c r="C97" i="6"/>
  <c r="C97" i="6" a="1"/>
  <c r="B97" i="6"/>
  <c r="B97" i="6" a="1"/>
  <c r="A97" i="6"/>
  <c r="G97" i="6" s="1"/>
  <c r="K96" i="6"/>
  <c r="C96" i="6" a="1"/>
  <c r="C96" i="6" s="1"/>
  <c r="B96" i="6" a="1"/>
  <c r="B96" i="6" s="1"/>
  <c r="A96" i="6"/>
  <c r="C95" i="6"/>
  <c r="C95" i="6" a="1"/>
  <c r="B95" i="6" a="1"/>
  <c r="B95" i="6" s="1"/>
  <c r="G95" i="6" s="1"/>
  <c r="A95" i="6"/>
  <c r="C94" i="6"/>
  <c r="C94" i="6" a="1"/>
  <c r="B94" i="6" a="1"/>
  <c r="B94" i="6" s="1"/>
  <c r="D94" i="6" s="1"/>
  <c r="A94" i="6"/>
  <c r="E93" i="6"/>
  <c r="C93" i="6"/>
  <c r="C93" i="6" a="1"/>
  <c r="B93" i="6" a="1"/>
  <c r="B93" i="6" s="1"/>
  <c r="A93" i="6"/>
  <c r="H92" i="6"/>
  <c r="G92" i="6"/>
  <c r="F92" i="6"/>
  <c r="D92" i="6"/>
  <c r="C92" i="6"/>
  <c r="C92" i="6" a="1"/>
  <c r="B92" i="6" a="1"/>
  <c r="B92" i="6" s="1"/>
  <c r="A92" i="6"/>
  <c r="C91" i="6" a="1"/>
  <c r="C91" i="6" s="1"/>
  <c r="K91" i="6" s="1"/>
  <c r="B91" i="6"/>
  <c r="B91" i="6" a="1"/>
  <c r="A91" i="6"/>
  <c r="J90" i="6"/>
  <c r="F90" i="6"/>
  <c r="C90" i="6" a="1"/>
  <c r="C90" i="6" s="1"/>
  <c r="E90" i="6" s="1"/>
  <c r="B90" i="6" a="1"/>
  <c r="B90" i="6" s="1"/>
  <c r="A90" i="6"/>
  <c r="J89" i="6"/>
  <c r="G89" i="6"/>
  <c r="C89" i="6" a="1"/>
  <c r="C89" i="6" s="1"/>
  <c r="B89" i="6"/>
  <c r="B89" i="6" a="1"/>
  <c r="A89" i="6"/>
  <c r="C88" i="6"/>
  <c r="C88" i="6" a="1"/>
  <c r="B88" i="6"/>
  <c r="B88" i="6" a="1"/>
  <c r="A88" i="6"/>
  <c r="C87" i="6"/>
  <c r="C87" i="6" a="1"/>
  <c r="B87" i="6"/>
  <c r="F87" i="6" s="1"/>
  <c r="B87" i="6" a="1"/>
  <c r="A87" i="6"/>
  <c r="C86" i="6" a="1"/>
  <c r="C86" i="6" s="1"/>
  <c r="B86" i="6" a="1"/>
  <c r="B86" i="6" s="1"/>
  <c r="E86" i="6" s="1"/>
  <c r="A86" i="6"/>
  <c r="G85" i="6"/>
  <c r="F85" i="6"/>
  <c r="E85" i="6"/>
  <c r="C85" i="6" a="1"/>
  <c r="C85" i="6" s="1"/>
  <c r="B85" i="6" a="1"/>
  <c r="B85" i="6" s="1"/>
  <c r="A85" i="6"/>
  <c r="F84" i="6"/>
  <c r="E84" i="6"/>
  <c r="C84" i="6"/>
  <c r="C84" i="6" a="1"/>
  <c r="B84" i="6" a="1"/>
  <c r="B84" i="6" s="1"/>
  <c r="A84" i="6"/>
  <c r="E83" i="6"/>
  <c r="C83" i="6"/>
  <c r="C83" i="6" a="1"/>
  <c r="B83" i="6"/>
  <c r="B83" i="6" a="1"/>
  <c r="A83" i="6"/>
  <c r="D83" i="6" s="1"/>
  <c r="E82" i="6"/>
  <c r="C82" i="6" a="1"/>
  <c r="C82" i="6" s="1"/>
  <c r="B82" i="6"/>
  <c r="B82" i="6" a="1"/>
  <c r="A82" i="6"/>
  <c r="K81" i="6"/>
  <c r="G81" i="6"/>
  <c r="F81" i="6"/>
  <c r="C81" i="6" a="1"/>
  <c r="C81" i="6" s="1"/>
  <c r="B81" i="6"/>
  <c r="B81" i="6" a="1"/>
  <c r="A81" i="6"/>
  <c r="C80" i="6" a="1"/>
  <c r="C80" i="6" s="1"/>
  <c r="B80" i="6"/>
  <c r="J80" i="6" s="1"/>
  <c r="B80" i="6" a="1"/>
  <c r="A80" i="6"/>
  <c r="C79" i="6" a="1"/>
  <c r="C79" i="6" s="1"/>
  <c r="B79" i="6" a="1"/>
  <c r="B79" i="6" s="1"/>
  <c r="A79" i="6"/>
  <c r="C78" i="6"/>
  <c r="K78" i="6" s="1"/>
  <c r="C78" i="6" a="1"/>
  <c r="B78" i="6" a="1"/>
  <c r="B78" i="6" s="1"/>
  <c r="A78" i="6"/>
  <c r="C77" i="6" a="1"/>
  <c r="C77" i="6" s="1"/>
  <c r="B77" i="6" a="1"/>
  <c r="B77" i="6" s="1"/>
  <c r="A77" i="6"/>
  <c r="F76" i="6"/>
  <c r="D76" i="6"/>
  <c r="C76" i="6" a="1"/>
  <c r="C76" i="6" s="1"/>
  <c r="E76" i="6" s="1"/>
  <c r="B76" i="6"/>
  <c r="B76" i="6" a="1"/>
  <c r="A76" i="6"/>
  <c r="G76" i="6" s="1"/>
  <c r="J75" i="6"/>
  <c r="F75" i="6"/>
  <c r="C75" i="6" a="1"/>
  <c r="C75" i="6" s="1"/>
  <c r="G75" i="6" s="1"/>
  <c r="B75" i="6"/>
  <c r="K75" i="6" s="1"/>
  <c r="B75" i="6" a="1"/>
  <c r="A75" i="6"/>
  <c r="D75" i="6" s="1"/>
  <c r="K74" i="6"/>
  <c r="C74" i="6"/>
  <c r="C74" i="6" a="1"/>
  <c r="B74" i="6"/>
  <c r="B74" i="6" a="1"/>
  <c r="A74" i="6"/>
  <c r="G74" i="6" s="1"/>
  <c r="E73" i="6"/>
  <c r="C73" i="6"/>
  <c r="C73" i="6" a="1"/>
  <c r="B73" i="6"/>
  <c r="B73" i="6" a="1"/>
  <c r="A73" i="6"/>
  <c r="K72" i="6"/>
  <c r="G72" i="6"/>
  <c r="H72" i="6" s="1"/>
  <c r="F72" i="6"/>
  <c r="E72" i="6"/>
  <c r="C72" i="6" a="1"/>
  <c r="C72" i="6" s="1"/>
  <c r="B72" i="6"/>
  <c r="B72" i="6" a="1"/>
  <c r="A72" i="6"/>
  <c r="K71" i="6"/>
  <c r="J71" i="6"/>
  <c r="C71" i="6" a="1"/>
  <c r="C71" i="6" s="1"/>
  <c r="B71" i="6" a="1"/>
  <c r="B71" i="6" s="1"/>
  <c r="A71" i="6"/>
  <c r="F71" i="6" s="1"/>
  <c r="G70" i="6"/>
  <c r="C70" i="6"/>
  <c r="C70" i="6" a="1"/>
  <c r="B70" i="6"/>
  <c r="J70" i="6" s="1"/>
  <c r="B70" i="6" a="1"/>
  <c r="A70" i="6"/>
  <c r="D69" i="6"/>
  <c r="C69" i="6" a="1"/>
  <c r="C69" i="6" s="1"/>
  <c r="B69" i="6"/>
  <c r="G69" i="6" s="1"/>
  <c r="B69" i="6" a="1"/>
  <c r="A69" i="6"/>
  <c r="C68" i="6" a="1"/>
  <c r="C68" i="6" s="1"/>
  <c r="B68" i="6"/>
  <c r="B68" i="6" a="1"/>
  <c r="A68" i="6"/>
  <c r="C67" i="6"/>
  <c r="C67" i="6" a="1"/>
  <c r="B67" i="6"/>
  <c r="B67" i="6" a="1"/>
  <c r="A67" i="6"/>
  <c r="G67" i="6" s="1"/>
  <c r="C66" i="6"/>
  <c r="C66" i="6" a="1"/>
  <c r="B66" i="6" a="1"/>
  <c r="B66" i="6" s="1"/>
  <c r="K66" i="6" s="1"/>
  <c r="A66" i="6"/>
  <c r="C65" i="6"/>
  <c r="C65" i="6" a="1"/>
  <c r="B65" i="6" a="1"/>
  <c r="B65" i="6" s="1"/>
  <c r="A65" i="6"/>
  <c r="C64" i="6"/>
  <c r="C64" i="6" a="1"/>
  <c r="B64" i="6" a="1"/>
  <c r="B64" i="6" s="1"/>
  <c r="E64" i="6" s="1"/>
  <c r="A64" i="6"/>
  <c r="F63" i="6"/>
  <c r="D63" i="6"/>
  <c r="C63" i="6"/>
  <c r="C63" i="6" a="1"/>
  <c r="B63" i="6" a="1"/>
  <c r="B63" i="6" s="1"/>
  <c r="A63" i="6"/>
  <c r="E62" i="6"/>
  <c r="D62" i="6"/>
  <c r="C62" i="6" a="1"/>
  <c r="C62" i="6" s="1"/>
  <c r="G62" i="6" s="1"/>
  <c r="B62" i="6" a="1"/>
  <c r="B62" i="6" s="1"/>
  <c r="A62" i="6"/>
  <c r="G61" i="6"/>
  <c r="C61" i="6" a="1"/>
  <c r="C61" i="6" s="1"/>
  <c r="B61" i="6" a="1"/>
  <c r="B61" i="6" s="1"/>
  <c r="J61" i="6" s="1"/>
  <c r="A61" i="6"/>
  <c r="C60" i="6" a="1"/>
  <c r="C60" i="6" s="1"/>
  <c r="B60" i="6"/>
  <c r="B60" i="6" a="1"/>
  <c r="A60" i="6"/>
  <c r="G59" i="6"/>
  <c r="D59" i="6"/>
  <c r="C59" i="6"/>
  <c r="C59" i="6" a="1"/>
  <c r="B59" i="6" a="1"/>
  <c r="B59" i="6" s="1"/>
  <c r="F59" i="6" s="1"/>
  <c r="H59" i="6" s="1"/>
  <c r="A59" i="6"/>
  <c r="C58" i="6"/>
  <c r="C58" i="6" a="1"/>
  <c r="B58" i="6" a="1"/>
  <c r="B58" i="6" s="1"/>
  <c r="A58" i="6"/>
  <c r="G58" i="6" s="1"/>
  <c r="F57" i="6"/>
  <c r="D57" i="6"/>
  <c r="C57" i="6"/>
  <c r="C57" i="6" a="1"/>
  <c r="B57" i="6" a="1"/>
  <c r="B57" i="6" s="1"/>
  <c r="E57" i="6" s="1"/>
  <c r="A57" i="6"/>
  <c r="C56" i="6" a="1"/>
  <c r="C56" i="6" s="1"/>
  <c r="B56" i="6" a="1"/>
  <c r="B56" i="6" s="1"/>
  <c r="A56" i="6"/>
  <c r="F55" i="6"/>
  <c r="E55" i="6"/>
  <c r="C55" i="6"/>
  <c r="D55" i="6" s="1"/>
  <c r="C55" i="6" a="1"/>
  <c r="B55" i="6" a="1"/>
  <c r="B55" i="6" s="1"/>
  <c r="A55" i="6"/>
  <c r="C54" i="6"/>
  <c r="C54" i="6" a="1"/>
  <c r="B54" i="6" a="1"/>
  <c r="B54" i="6" s="1"/>
  <c r="A54" i="6"/>
  <c r="G54" i="6" s="1"/>
  <c r="J53" i="6"/>
  <c r="E53" i="6"/>
  <c r="C53" i="6" a="1"/>
  <c r="C53" i="6" s="1"/>
  <c r="B53" i="6"/>
  <c r="D53" i="6" s="1"/>
  <c r="B53" i="6" a="1"/>
  <c r="A53" i="6"/>
  <c r="G52" i="6"/>
  <c r="F52" i="6"/>
  <c r="H52" i="6" s="1"/>
  <c r="C52" i="6" a="1"/>
  <c r="C52" i="6" s="1"/>
  <c r="B52" i="6"/>
  <c r="B52" i="6" a="1"/>
  <c r="A52" i="6"/>
  <c r="E52" i="6" s="1"/>
  <c r="C51" i="6" a="1"/>
  <c r="C51" i="6" s="1"/>
  <c r="B51" i="6"/>
  <c r="B51" i="6" a="1"/>
  <c r="A51" i="6"/>
  <c r="G50" i="6"/>
  <c r="F50" i="6"/>
  <c r="H50" i="6" s="1"/>
  <c r="C50" i="6"/>
  <c r="C50" i="6" a="1"/>
  <c r="B50" i="6" a="1"/>
  <c r="B50" i="6" s="1"/>
  <c r="A50" i="6"/>
  <c r="E50" i="6" s="1"/>
  <c r="C49" i="6" a="1"/>
  <c r="C49" i="6" s="1"/>
  <c r="B49" i="6"/>
  <c r="B49" i="6" a="1"/>
  <c r="A49" i="6"/>
  <c r="G48" i="6"/>
  <c r="C48" i="6" a="1"/>
  <c r="C48" i="6" s="1"/>
  <c r="B48" i="6" a="1"/>
  <c r="B48" i="6" s="1"/>
  <c r="A48" i="6"/>
  <c r="F48" i="6" s="1"/>
  <c r="H48" i="6" s="1"/>
  <c r="C47" i="6" a="1"/>
  <c r="C47" i="6" s="1"/>
  <c r="B47" i="6" a="1"/>
  <c r="B47" i="6" s="1"/>
  <c r="A47" i="6"/>
  <c r="G46" i="6"/>
  <c r="E46" i="6"/>
  <c r="C46" i="6" a="1"/>
  <c r="C46" i="6" s="1"/>
  <c r="B46" i="6"/>
  <c r="B46" i="6" a="1"/>
  <c r="A46" i="6"/>
  <c r="D46" i="6" s="1"/>
  <c r="C45" i="6"/>
  <c r="C45" i="6" a="1"/>
  <c r="B45" i="6" a="1"/>
  <c r="B45" i="6" s="1"/>
  <c r="A45" i="6"/>
  <c r="J44" i="6"/>
  <c r="C44" i="6" a="1"/>
  <c r="C44" i="6" s="1"/>
  <c r="B44" i="6" a="1"/>
  <c r="B44" i="6" s="1"/>
  <c r="A44" i="6"/>
  <c r="G44" i="6" s="1"/>
  <c r="C43" i="6" a="1"/>
  <c r="C43" i="6" s="1"/>
  <c r="J43" i="6" s="1"/>
  <c r="B43" i="6" a="1"/>
  <c r="B43" i="6" s="1"/>
  <c r="A43" i="6"/>
  <c r="C42" i="6" a="1"/>
  <c r="C42" i="6" s="1"/>
  <c r="B42" i="6" a="1"/>
  <c r="B42" i="6" s="1"/>
  <c r="A42" i="6"/>
  <c r="C41" i="6" a="1"/>
  <c r="C41" i="6" s="1"/>
  <c r="B41" i="6"/>
  <c r="G41" i="6" s="1"/>
  <c r="B41" i="6" a="1"/>
  <c r="A41" i="6"/>
  <c r="C40" i="6" a="1"/>
  <c r="C40" i="6" s="1"/>
  <c r="B40" i="6"/>
  <c r="B40" i="6" a="1"/>
  <c r="A40" i="6"/>
  <c r="C39" i="6"/>
  <c r="C39" i="6" a="1"/>
  <c r="B39" i="6" a="1"/>
  <c r="B39" i="6" s="1"/>
  <c r="A39" i="6"/>
  <c r="K38" i="6"/>
  <c r="F38" i="6"/>
  <c r="H38" i="6" s="1"/>
  <c r="D38" i="6"/>
  <c r="C38" i="6"/>
  <c r="C38" i="6" a="1"/>
  <c r="B38" i="6" a="1"/>
  <c r="B38" i="6" s="1"/>
  <c r="J38" i="6" s="1"/>
  <c r="A38" i="6"/>
  <c r="G38" i="6" s="1"/>
  <c r="C37" i="6" a="1"/>
  <c r="C37" i="6" s="1"/>
  <c r="B37" i="6" a="1"/>
  <c r="B37" i="6" s="1"/>
  <c r="A37" i="6"/>
  <c r="C36" i="6" a="1"/>
  <c r="C36" i="6" s="1"/>
  <c r="B36" i="6" a="1"/>
  <c r="B36" i="6" s="1"/>
  <c r="A36" i="6"/>
  <c r="J36" i="6" s="1"/>
  <c r="C35" i="6" a="1"/>
  <c r="C35" i="6" s="1"/>
  <c r="B35" i="6" a="1"/>
  <c r="B35" i="6" s="1"/>
  <c r="G35" i="6" s="1"/>
  <c r="A35" i="6"/>
  <c r="C34" i="6" a="1"/>
  <c r="C34" i="6" s="1"/>
  <c r="B34" i="6"/>
  <c r="D34" i="6" s="1"/>
  <c r="B34" i="6" a="1"/>
  <c r="A34" i="6"/>
  <c r="C33" i="6" a="1"/>
  <c r="C33" i="6" s="1"/>
  <c r="G33" i="6" s="1"/>
  <c r="B33" i="6"/>
  <c r="B33" i="6" a="1"/>
  <c r="A33" i="6"/>
  <c r="C32" i="6" a="1"/>
  <c r="C32" i="6" s="1"/>
  <c r="B32" i="6"/>
  <c r="B32" i="6" a="1"/>
  <c r="A32" i="6"/>
  <c r="G31" i="6"/>
  <c r="F31" i="6"/>
  <c r="E31" i="6"/>
  <c r="I31" i="6" s="1"/>
  <c r="K31" i="6"/>
  <c r="J31" i="6"/>
  <c r="D31" i="6"/>
  <c r="C31" i="6" a="1"/>
  <c r="C31" i="6" s="1"/>
  <c r="B31" i="6" a="1"/>
  <c r="B31" i="6" s="1"/>
  <c r="A31" i="6"/>
  <c r="T9" i="5"/>
  <c r="S9" i="5"/>
  <c r="R9" i="5"/>
  <c r="Q9" i="5"/>
  <c r="T8" i="5"/>
  <c r="S8" i="5"/>
  <c r="R8" i="5"/>
  <c r="Q8" i="5"/>
  <c r="T7" i="5"/>
  <c r="S7" i="5"/>
  <c r="R7" i="5"/>
  <c r="Q7" i="5"/>
  <c r="T6" i="5"/>
  <c r="S6" i="5"/>
  <c r="R6" i="5"/>
  <c r="Q6" i="5"/>
  <c r="T5" i="5"/>
  <c r="S5" i="5"/>
  <c r="R5" i="5"/>
  <c r="O9" i="5"/>
  <c r="N9" i="5"/>
  <c r="M9" i="5"/>
  <c r="L9" i="5"/>
  <c r="O8" i="5"/>
  <c r="N8" i="5"/>
  <c r="M8" i="5"/>
  <c r="L8" i="5"/>
  <c r="O7" i="5"/>
  <c r="N7" i="5"/>
  <c r="M7" i="5"/>
  <c r="L7" i="5"/>
  <c r="O6" i="5"/>
  <c r="N6" i="5"/>
  <c r="M6" i="5"/>
  <c r="L6" i="5"/>
  <c r="O5" i="5"/>
  <c r="N5" i="5"/>
  <c r="M5" i="5"/>
  <c r="J9" i="5"/>
  <c r="I9" i="5"/>
  <c r="H9" i="5"/>
  <c r="G9" i="5"/>
  <c r="J8" i="5"/>
  <c r="I8" i="5"/>
  <c r="H8" i="5"/>
  <c r="G8" i="5"/>
  <c r="J7" i="5"/>
  <c r="I7" i="5"/>
  <c r="H7" i="5"/>
  <c r="G7" i="5"/>
  <c r="J6" i="5"/>
  <c r="I6" i="5"/>
  <c r="H6" i="5"/>
  <c r="G6" i="5"/>
  <c r="J5" i="5"/>
  <c r="I5" i="5"/>
  <c r="H5" i="5"/>
  <c r="E9" i="5" a="1"/>
  <c r="E9" i="5" s="1"/>
  <c r="D9" i="5" a="1"/>
  <c r="D9" i="5" s="1"/>
  <c r="C9" i="5" a="1"/>
  <c r="C9" i="5" s="1"/>
  <c r="B9" i="5" a="1"/>
  <c r="B9" i="5" s="1"/>
  <c r="E8" i="5" a="1"/>
  <c r="E8" i="5" s="1"/>
  <c r="D8" i="5" a="1"/>
  <c r="D8" i="5" s="1"/>
  <c r="C8" i="5" a="1"/>
  <c r="C8" i="5" s="1"/>
  <c r="B8" i="5" a="1"/>
  <c r="B8" i="5" s="1"/>
  <c r="E7" i="5" a="1"/>
  <c r="E7" i="5" s="1"/>
  <c r="D7" i="5" a="1"/>
  <c r="D7" i="5" s="1"/>
  <c r="C7" i="5" a="1"/>
  <c r="C7" i="5" s="1"/>
  <c r="B7" i="5" a="1"/>
  <c r="B7" i="5" s="1"/>
  <c r="E6" i="5" a="1"/>
  <c r="E6" i="5" s="1"/>
  <c r="D6" i="5" a="1"/>
  <c r="D6" i="5" s="1"/>
  <c r="C6" i="5" a="1"/>
  <c r="C6" i="5" s="1"/>
  <c r="B6" i="5" a="1"/>
  <c r="B6" i="5" s="1"/>
  <c r="E5" i="5" a="1"/>
  <c r="E5" i="5" s="1"/>
  <c r="D5" i="5" a="1"/>
  <c r="D5" i="5" s="1"/>
  <c r="C5" i="5" a="1"/>
  <c r="C5" i="5" s="1"/>
  <c r="Q5" i="5"/>
  <c r="P9" i="5"/>
  <c r="P8" i="5"/>
  <c r="P7" i="5"/>
  <c r="P6" i="5"/>
  <c r="P5" i="5"/>
  <c r="L5" i="5"/>
  <c r="K9" i="5"/>
  <c r="K8" i="5"/>
  <c r="K7" i="5"/>
  <c r="K6" i="5"/>
  <c r="K5" i="5"/>
  <c r="G5" i="5"/>
  <c r="F9" i="5"/>
  <c r="F8" i="5"/>
  <c r="F7" i="5"/>
  <c r="F6" i="5"/>
  <c r="F5" i="5"/>
  <c r="B5" i="5" a="1"/>
  <c r="B5" i="5" s="1"/>
  <c r="J10" i="4"/>
  <c r="I10" i="4"/>
  <c r="H10" i="4"/>
  <c r="G10" i="4"/>
  <c r="J9" i="4"/>
  <c r="I9" i="4"/>
  <c r="H9" i="4"/>
  <c r="G9" i="4"/>
  <c r="J8" i="4"/>
  <c r="I8" i="4"/>
  <c r="H8" i="4"/>
  <c r="G8" i="4"/>
  <c r="J7" i="4"/>
  <c r="I7" i="4"/>
  <c r="H7" i="4"/>
  <c r="G7" i="4"/>
  <c r="J6" i="4"/>
  <c r="I6" i="4"/>
  <c r="H6" i="4"/>
  <c r="G6" i="4"/>
  <c r="J5" i="4"/>
  <c r="I5" i="4"/>
  <c r="H5" i="4"/>
  <c r="G5" i="4"/>
  <c r="E15" i="4" a="1"/>
  <c r="E15" i="4" s="1"/>
  <c r="D15" i="4" a="1"/>
  <c r="D15" i="4" s="1"/>
  <c r="C15" i="4" a="1"/>
  <c r="C15" i="4" s="1"/>
  <c r="E13" i="4" a="1"/>
  <c r="E13" i="4" s="1"/>
  <c r="E14" i="4" s="1"/>
  <c r="D13" i="4" a="1"/>
  <c r="D13" i="4" s="1"/>
  <c r="D14" i="4" s="1"/>
  <c r="C13" i="4" a="1"/>
  <c r="C13" i="4" s="1"/>
  <c r="C14" i="4" s="1"/>
  <c r="B15" i="4" a="1"/>
  <c r="B15" i="4" s="1"/>
  <c r="B14" i="4"/>
  <c r="B13" i="4" a="1"/>
  <c r="B13" i="4" s="1"/>
  <c r="T10" i="4"/>
  <c r="S10" i="4"/>
  <c r="R10" i="4"/>
  <c r="Q10" i="4"/>
  <c r="T9" i="4"/>
  <c r="S9" i="4"/>
  <c r="R9" i="4"/>
  <c r="Q9" i="4"/>
  <c r="T8" i="4"/>
  <c r="S8" i="4"/>
  <c r="R8" i="4"/>
  <c r="Q8" i="4"/>
  <c r="T7" i="4"/>
  <c r="S7" i="4"/>
  <c r="R7" i="4"/>
  <c r="Q7" i="4"/>
  <c r="T6" i="4"/>
  <c r="S6" i="4"/>
  <c r="R6" i="4"/>
  <c r="Q6" i="4"/>
  <c r="T5" i="4"/>
  <c r="S5" i="4"/>
  <c r="R5" i="4"/>
  <c r="O10" i="4"/>
  <c r="N10" i="4"/>
  <c r="M10" i="4"/>
  <c r="L10" i="4"/>
  <c r="O9" i="4"/>
  <c r="N9" i="4"/>
  <c r="M9" i="4"/>
  <c r="L9" i="4"/>
  <c r="O8" i="4"/>
  <c r="N8" i="4"/>
  <c r="M8" i="4"/>
  <c r="L8" i="4"/>
  <c r="O7" i="4"/>
  <c r="N7" i="4"/>
  <c r="M7" i="4"/>
  <c r="L7" i="4"/>
  <c r="O6" i="4"/>
  <c r="N6" i="4"/>
  <c r="M6" i="4"/>
  <c r="L6" i="4"/>
  <c r="O5" i="4"/>
  <c r="N5" i="4"/>
  <c r="M5" i="4"/>
  <c r="Q5" i="4"/>
  <c r="P10" i="4"/>
  <c r="P9" i="4"/>
  <c r="P8" i="4"/>
  <c r="P7" i="4"/>
  <c r="P6" i="4"/>
  <c r="P5" i="4"/>
  <c r="L5" i="4"/>
  <c r="K10" i="4"/>
  <c r="K9" i="4"/>
  <c r="K8" i="4"/>
  <c r="K7" i="4"/>
  <c r="K6" i="4"/>
  <c r="K5" i="4"/>
  <c r="F10" i="4"/>
  <c r="F9" i="4"/>
  <c r="F8" i="4"/>
  <c r="F7" i="4"/>
  <c r="F6" i="4"/>
  <c r="F5" i="4"/>
  <c r="E10" i="4" a="1"/>
  <c r="E10" i="4" s="1"/>
  <c r="D10" i="4" a="1"/>
  <c r="D10" i="4" s="1"/>
  <c r="C10" i="4" a="1"/>
  <c r="C10" i="4" s="1"/>
  <c r="B10" i="4" a="1"/>
  <c r="B10" i="4" s="1"/>
  <c r="E9" i="4" a="1"/>
  <c r="E9" i="4" s="1"/>
  <c r="D9" i="4" a="1"/>
  <c r="D9" i="4" s="1"/>
  <c r="C9" i="4" a="1"/>
  <c r="C9" i="4" s="1"/>
  <c r="B9" i="4" a="1"/>
  <c r="B9" i="4" s="1"/>
  <c r="E8" i="4" a="1"/>
  <c r="E8" i="4" s="1"/>
  <c r="D8" i="4" a="1"/>
  <c r="D8" i="4" s="1"/>
  <c r="C8" i="4" a="1"/>
  <c r="C8" i="4" s="1"/>
  <c r="B8" i="4" a="1"/>
  <c r="B8" i="4" s="1"/>
  <c r="E7" i="4" a="1"/>
  <c r="E7" i="4" s="1"/>
  <c r="D7" i="4" a="1"/>
  <c r="D7" i="4" s="1"/>
  <c r="C7" i="4" a="1"/>
  <c r="C7" i="4" s="1"/>
  <c r="B7" i="4" a="1"/>
  <c r="B7" i="4" s="1"/>
  <c r="E6" i="4" a="1"/>
  <c r="E6" i="4" s="1"/>
  <c r="D6" i="4" a="1"/>
  <c r="D6" i="4" s="1"/>
  <c r="C6" i="4" a="1"/>
  <c r="C6" i="4" s="1"/>
  <c r="B6" i="4" a="1"/>
  <c r="B6" i="4" s="1"/>
  <c r="E5" i="4" a="1"/>
  <c r="E5" i="4" s="1"/>
  <c r="D5" i="4" a="1"/>
  <c r="D5" i="4" s="1"/>
  <c r="C5" i="4" a="1"/>
  <c r="C5" i="4" s="1"/>
  <c r="B5" i="4" a="1"/>
  <c r="B5" i="4" s="1"/>
  <c r="E30" i="3"/>
  <c r="D30" i="3"/>
  <c r="C30" i="3"/>
  <c r="E29" i="3"/>
  <c r="D29" i="3"/>
  <c r="C29" i="3"/>
  <c r="E28" i="3"/>
  <c r="D28" i="3"/>
  <c r="C28" i="3"/>
  <c r="E26" i="3"/>
  <c r="D26" i="3"/>
  <c r="C26" i="3"/>
  <c r="E25" i="3"/>
  <c r="D25" i="3"/>
  <c r="C25" i="3"/>
  <c r="E23" i="3"/>
  <c r="D23" i="3"/>
  <c r="D24" i="3" s="1"/>
  <c r="C23" i="3"/>
  <c r="C24" i="3" s="1"/>
  <c r="E20" i="3"/>
  <c r="D20" i="3"/>
  <c r="C20" i="3"/>
  <c r="E19" i="3"/>
  <c r="D19" i="3"/>
  <c r="C19" i="3"/>
  <c r="E18" i="3"/>
  <c r="D18" i="3"/>
  <c r="C18" i="3"/>
  <c r="E17" i="3" a="1"/>
  <c r="E17" i="3" s="1"/>
  <c r="D17" i="3" a="1"/>
  <c r="D17" i="3" s="1"/>
  <c r="C17" i="3" a="1"/>
  <c r="C17" i="3" s="1"/>
  <c r="E16" i="3" a="1"/>
  <c r="E16" i="3" s="1"/>
  <c r="D16" i="3" a="1"/>
  <c r="D16" i="3" s="1"/>
  <c r="C16" i="3" a="1"/>
  <c r="C16" i="3" s="1"/>
  <c r="E15" i="3" a="1"/>
  <c r="E15" i="3" s="1"/>
  <c r="D15" i="3" a="1"/>
  <c r="D15" i="3" s="1"/>
  <c r="C15" i="3" a="1"/>
  <c r="C15" i="3" s="1"/>
  <c r="E14" i="3"/>
  <c r="D14" i="3"/>
  <c r="C14" i="3"/>
  <c r="E11" i="3" a="1"/>
  <c r="E11" i="3" s="1"/>
  <c r="D11" i="3"/>
  <c r="D11" i="3" a="1"/>
  <c r="C11" i="3" a="1"/>
  <c r="C11" i="3" s="1"/>
  <c r="E10" i="3" a="1"/>
  <c r="E10" i="3" s="1"/>
  <c r="D10" i="3" a="1"/>
  <c r="D10" i="3" s="1"/>
  <c r="C10" i="3" a="1"/>
  <c r="C10" i="3" s="1"/>
  <c r="E8" i="3"/>
  <c r="D8" i="3"/>
  <c r="D9" i="3" s="1"/>
  <c r="C8" i="3"/>
  <c r="C9" i="3" s="1"/>
  <c r="E7" i="3"/>
  <c r="E24" i="3" s="1"/>
  <c r="D7" i="3"/>
  <c r="C7" i="3"/>
  <c r="E6" i="3"/>
  <c r="E9" i="3" s="1"/>
  <c r="D6" i="3"/>
  <c r="C6" i="3"/>
  <c r="B30" i="3"/>
  <c r="B29" i="3"/>
  <c r="B28" i="3"/>
  <c r="B26" i="3"/>
  <c r="B25" i="3"/>
  <c r="B24" i="3"/>
  <c r="B23" i="3"/>
  <c r="B20" i="3"/>
  <c r="B19" i="3"/>
  <c r="B18" i="3"/>
  <c r="B17" i="3" a="1"/>
  <c r="B17" i="3" s="1"/>
  <c r="B16" i="3" a="1"/>
  <c r="B16" i="3" s="1"/>
  <c r="B15" i="3" a="1"/>
  <c r="B15" i="3" s="1"/>
  <c r="B14" i="3"/>
  <c r="B11" i="3" a="1"/>
  <c r="B11" i="3" s="1"/>
  <c r="B10" i="3" a="1"/>
  <c r="B10" i="3" s="1"/>
  <c r="B9" i="3"/>
  <c r="B8" i="3"/>
  <c r="B7" i="3"/>
  <c r="B6" i="3"/>
  <c r="S7" i="6" l="1"/>
  <c r="S9" i="6"/>
  <c r="S8" i="6"/>
  <c r="E68" i="6"/>
  <c r="D68" i="6"/>
  <c r="K32" i="6"/>
  <c r="F32" i="6"/>
  <c r="J32" i="6"/>
  <c r="D32" i="6"/>
  <c r="F37" i="6"/>
  <c r="E37" i="6"/>
  <c r="J37" i="6"/>
  <c r="K37" i="6"/>
  <c r="K40" i="6"/>
  <c r="J40" i="6"/>
  <c r="F40" i="6"/>
  <c r="D40" i="6"/>
  <c r="G43" i="6"/>
  <c r="F45" i="6"/>
  <c r="J45" i="6"/>
  <c r="E45" i="6"/>
  <c r="F77" i="6"/>
  <c r="J77" i="6"/>
  <c r="G77" i="6"/>
  <c r="D77" i="6"/>
  <c r="D47" i="6"/>
  <c r="K47" i="6"/>
  <c r="J47" i="6"/>
  <c r="F47" i="6"/>
  <c r="D49" i="6"/>
  <c r="K49" i="6"/>
  <c r="J49" i="6"/>
  <c r="G39" i="6"/>
  <c r="F39" i="6"/>
  <c r="K51" i="6"/>
  <c r="J51" i="6"/>
  <c r="D51" i="6"/>
  <c r="K56" i="6"/>
  <c r="J56" i="6"/>
  <c r="E65" i="6"/>
  <c r="K65" i="6"/>
  <c r="D65" i="6"/>
  <c r="F65" i="6"/>
  <c r="J65" i="6"/>
  <c r="K42" i="6"/>
  <c r="F42" i="6"/>
  <c r="E42" i="6"/>
  <c r="J42" i="6"/>
  <c r="K34" i="6"/>
  <c r="F34" i="6"/>
  <c r="E34" i="6"/>
  <c r="I34" i="6" s="1"/>
  <c r="J34" i="6"/>
  <c r="J35" i="6"/>
  <c r="H75" i="6"/>
  <c r="K87" i="6"/>
  <c r="E101" i="6"/>
  <c r="J101" i="6"/>
  <c r="F101" i="6"/>
  <c r="J112" i="6"/>
  <c r="G112" i="6"/>
  <c r="D112" i="6"/>
  <c r="F35" i="6"/>
  <c r="H35" i="6" s="1"/>
  <c r="K35" i="6"/>
  <c r="E38" i="6"/>
  <c r="K41" i="6"/>
  <c r="J41" i="6"/>
  <c r="F61" i="6"/>
  <c r="H61" i="6" s="1"/>
  <c r="K61" i="6"/>
  <c r="E61" i="6"/>
  <c r="D61" i="6"/>
  <c r="K62" i="6"/>
  <c r="J66" i="6"/>
  <c r="F66" i="6"/>
  <c r="E66" i="6"/>
  <c r="D66" i="6"/>
  <c r="G68" i="6"/>
  <c r="E80" i="6"/>
  <c r="F80" i="6"/>
  <c r="G80" i="6"/>
  <c r="D80" i="6"/>
  <c r="I80" i="6" s="1"/>
  <c r="H85" i="6"/>
  <c r="J111" i="6"/>
  <c r="E111" i="6"/>
  <c r="D111" i="6"/>
  <c r="G111" i="6"/>
  <c r="F111" i="6"/>
  <c r="E113" i="6"/>
  <c r="I113" i="6" s="1"/>
  <c r="G65" i="6"/>
  <c r="H76" i="6"/>
  <c r="E91" i="6"/>
  <c r="K93" i="6"/>
  <c r="J93" i="6"/>
  <c r="D96" i="6"/>
  <c r="G96" i="6"/>
  <c r="F96" i="6"/>
  <c r="H96" i="6" s="1"/>
  <c r="J99" i="6"/>
  <c r="G101" i="6"/>
  <c r="K115" i="6"/>
  <c r="F115" i="6"/>
  <c r="G115" i="6"/>
  <c r="J115" i="6"/>
  <c r="E115" i="6"/>
  <c r="D115" i="6"/>
  <c r="D37" i="6"/>
  <c r="H81" i="6"/>
  <c r="D88" i="6"/>
  <c r="K88" i="6"/>
  <c r="G88" i="6"/>
  <c r="F88" i="6"/>
  <c r="H88" i="6" s="1"/>
  <c r="K98" i="6"/>
  <c r="J98" i="6"/>
  <c r="G98" i="6"/>
  <c r="D98" i="6"/>
  <c r="F98" i="6"/>
  <c r="H98" i="6" s="1"/>
  <c r="E98" i="6"/>
  <c r="D100" i="6"/>
  <c r="K101" i="6"/>
  <c r="F114" i="6"/>
  <c r="H114" i="6" s="1"/>
  <c r="D114" i="6"/>
  <c r="I114" i="6" s="1"/>
  <c r="G114" i="6"/>
  <c r="J114" i="6"/>
  <c r="K123" i="6"/>
  <c r="J123" i="6"/>
  <c r="F123" i="6"/>
  <c r="G123" i="6"/>
  <c r="E123" i="6"/>
  <c r="D123" i="6"/>
  <c r="I123" i="6" s="1"/>
  <c r="D128" i="6"/>
  <c r="F128" i="6"/>
  <c r="K128" i="6"/>
  <c r="E128" i="6"/>
  <c r="D33" i="6"/>
  <c r="F43" i="6"/>
  <c r="H43" i="6" s="1"/>
  <c r="K43" i="6"/>
  <c r="J58" i="6"/>
  <c r="D58" i="6"/>
  <c r="I58" i="6" s="1"/>
  <c r="F58" i="6"/>
  <c r="H58" i="6" s="1"/>
  <c r="E58" i="6"/>
  <c r="K112" i="6"/>
  <c r="D36" i="6"/>
  <c r="K36" i="6"/>
  <c r="D44" i="6"/>
  <c r="K44" i="6"/>
  <c r="F54" i="6"/>
  <c r="H54" i="6" s="1"/>
  <c r="K54" i="6"/>
  <c r="E54" i="6"/>
  <c r="D54" i="6"/>
  <c r="J54" i="6"/>
  <c r="D56" i="6"/>
  <c r="E56" i="6"/>
  <c r="G56" i="6"/>
  <c r="F56" i="6"/>
  <c r="H56" i="6" s="1"/>
  <c r="E32" i="6"/>
  <c r="F33" i="6"/>
  <c r="H33" i="6" s="1"/>
  <c r="G34" i="6"/>
  <c r="D35" i="6"/>
  <c r="E36" i="6"/>
  <c r="J39" i="6"/>
  <c r="E39" i="6"/>
  <c r="D39" i="6"/>
  <c r="I39" i="6" s="1"/>
  <c r="F83" i="6"/>
  <c r="H83" i="6" s="1"/>
  <c r="K83" i="6"/>
  <c r="G83" i="6"/>
  <c r="J83" i="6"/>
  <c r="F86" i="6"/>
  <c r="J86" i="6"/>
  <c r="K86" i="6"/>
  <c r="K80" i="6"/>
  <c r="K82" i="6"/>
  <c r="F82" i="6"/>
  <c r="H82" i="6" s="1"/>
  <c r="J82" i="6"/>
  <c r="G82" i="6"/>
  <c r="D82" i="6"/>
  <c r="I82" i="6" s="1"/>
  <c r="J88" i="6"/>
  <c r="G91" i="6"/>
  <c r="G93" i="6"/>
  <c r="J100" i="6"/>
  <c r="G108" i="6"/>
  <c r="H108" i="6" s="1"/>
  <c r="E110" i="6"/>
  <c r="D110" i="6"/>
  <c r="F110" i="6"/>
  <c r="K110" i="6"/>
  <c r="J110" i="6"/>
  <c r="F116" i="6"/>
  <c r="H116" i="6" s="1"/>
  <c r="D116" i="6"/>
  <c r="J116" i="6"/>
  <c r="G116" i="6"/>
  <c r="K116" i="6"/>
  <c r="E116" i="6"/>
  <c r="K58" i="6"/>
  <c r="K60" i="6"/>
  <c r="E60" i="6"/>
  <c r="D60" i="6"/>
  <c r="G60" i="6"/>
  <c r="F60" i="6"/>
  <c r="H60" i="6" s="1"/>
  <c r="E33" i="6"/>
  <c r="D41" i="6"/>
  <c r="F46" i="6"/>
  <c r="H46" i="6" s="1"/>
  <c r="K46" i="6"/>
  <c r="J46" i="6"/>
  <c r="J50" i="6"/>
  <c r="K50" i="6"/>
  <c r="D50" i="6"/>
  <c r="I50" i="6" s="1"/>
  <c r="K52" i="6"/>
  <c r="J52" i="6"/>
  <c r="D52" i="6"/>
  <c r="I52" i="6" s="1"/>
  <c r="G55" i="6"/>
  <c r="H55" i="6" s="1"/>
  <c r="K57" i="6"/>
  <c r="J57" i="6"/>
  <c r="K59" i="6"/>
  <c r="J59" i="6"/>
  <c r="G66" i="6"/>
  <c r="D67" i="6"/>
  <c r="J69" i="6"/>
  <c r="J79" i="6"/>
  <c r="K79" i="6"/>
  <c r="F79" i="6"/>
  <c r="G79" i="6"/>
  <c r="E79" i="6"/>
  <c r="D79" i="6"/>
  <c r="E35" i="6"/>
  <c r="F36" i="6"/>
  <c r="K39" i="6"/>
  <c r="E41" i="6"/>
  <c r="D42" i="6"/>
  <c r="I42" i="6" s="1"/>
  <c r="E47" i="6"/>
  <c r="D48" i="6"/>
  <c r="K48" i="6"/>
  <c r="J48" i="6"/>
  <c r="E48" i="6"/>
  <c r="G71" i="6"/>
  <c r="H71" i="6" s="1"/>
  <c r="D71" i="6"/>
  <c r="E71" i="6"/>
  <c r="K33" i="6"/>
  <c r="J33" i="6"/>
  <c r="G36" i="6"/>
  <c r="E40" i="6"/>
  <c r="F41" i="6"/>
  <c r="H41" i="6" s="1"/>
  <c r="G42" i="6"/>
  <c r="D43" i="6"/>
  <c r="E44" i="6"/>
  <c r="G47" i="6"/>
  <c r="F49" i="6"/>
  <c r="E49" i="6"/>
  <c r="G51" i="6"/>
  <c r="G53" i="6"/>
  <c r="J81" i="6"/>
  <c r="E81" i="6"/>
  <c r="D81" i="6"/>
  <c r="I81" i="6" s="1"/>
  <c r="D86" i="6"/>
  <c r="D87" i="6"/>
  <c r="E89" i="6"/>
  <c r="K89" i="6"/>
  <c r="F89" i="6"/>
  <c r="H89" i="6" s="1"/>
  <c r="D89" i="6"/>
  <c r="J91" i="6"/>
  <c r="E104" i="6"/>
  <c r="D104" i="6"/>
  <c r="F104" i="6"/>
  <c r="H104" i="6" s="1"/>
  <c r="D126" i="6"/>
  <c r="K126" i="6"/>
  <c r="J126" i="6"/>
  <c r="G126" i="6"/>
  <c r="E126" i="6"/>
  <c r="F126" i="6"/>
  <c r="H126" i="6" s="1"/>
  <c r="J74" i="6"/>
  <c r="F74" i="6"/>
  <c r="H74" i="6" s="1"/>
  <c r="E74" i="6"/>
  <c r="D74" i="6"/>
  <c r="I38" i="6"/>
  <c r="E43" i="6"/>
  <c r="F44" i="6"/>
  <c r="H44" i="6" s="1"/>
  <c r="J60" i="6"/>
  <c r="E67" i="6"/>
  <c r="F67" i="6"/>
  <c r="H67" i="6" s="1"/>
  <c r="K67" i="6"/>
  <c r="J67" i="6"/>
  <c r="K70" i="6"/>
  <c r="E70" i="6"/>
  <c r="D70" i="6"/>
  <c r="D73" i="6"/>
  <c r="F73" i="6"/>
  <c r="K73" i="6"/>
  <c r="J73" i="6"/>
  <c r="I76" i="6"/>
  <c r="F78" i="6"/>
  <c r="D78" i="6"/>
  <c r="J78" i="6"/>
  <c r="E78" i="6"/>
  <c r="G78" i="6"/>
  <c r="J94" i="6"/>
  <c r="E94" i="6"/>
  <c r="I94" i="6" s="1"/>
  <c r="F94" i="6"/>
  <c r="K94" i="6"/>
  <c r="K95" i="6"/>
  <c r="J76" i="6"/>
  <c r="G84" i="6"/>
  <c r="H84" i="6" s="1"/>
  <c r="D84" i="6"/>
  <c r="K84" i="6"/>
  <c r="D85" i="6"/>
  <c r="I85" i="6" s="1"/>
  <c r="K85" i="6"/>
  <c r="K106" i="6"/>
  <c r="D106" i="6"/>
  <c r="J106" i="6"/>
  <c r="G106" i="6"/>
  <c r="H106" i="6" s="1"/>
  <c r="F107" i="6"/>
  <c r="G107" i="6"/>
  <c r="K107" i="6"/>
  <c r="E122" i="6"/>
  <c r="J129" i="6"/>
  <c r="E129" i="6"/>
  <c r="D129" i="6"/>
  <c r="I129" i="6" s="1"/>
  <c r="K129" i="6"/>
  <c r="F129" i="6"/>
  <c r="G129" i="6"/>
  <c r="G32" i="6"/>
  <c r="G49" i="6"/>
  <c r="J55" i="6"/>
  <c r="E63" i="6"/>
  <c r="I63" i="6" s="1"/>
  <c r="K63" i="6"/>
  <c r="J63" i="6"/>
  <c r="K68" i="6"/>
  <c r="K76" i="6"/>
  <c r="J87" i="6"/>
  <c r="G87" i="6"/>
  <c r="H87" i="6" s="1"/>
  <c r="D90" i="6"/>
  <c r="D97" i="6"/>
  <c r="F100" i="6"/>
  <c r="D102" i="6"/>
  <c r="I102" i="6" s="1"/>
  <c r="E108" i="6"/>
  <c r="D108" i="6"/>
  <c r="I108" i="6" s="1"/>
  <c r="K108" i="6"/>
  <c r="D109" i="6"/>
  <c r="J109" i="6"/>
  <c r="K109" i="6"/>
  <c r="E117" i="6"/>
  <c r="I117" i="6" s="1"/>
  <c r="H120" i="6"/>
  <c r="G128" i="6"/>
  <c r="D135" i="6"/>
  <c r="F135" i="6"/>
  <c r="D138" i="6"/>
  <c r="G139" i="6"/>
  <c r="H145" i="6"/>
  <c r="F119" i="6"/>
  <c r="K119" i="6"/>
  <c r="G40" i="6"/>
  <c r="E51" i="6"/>
  <c r="K53" i="6"/>
  <c r="G37" i="6"/>
  <c r="K45" i="6"/>
  <c r="G45" i="6"/>
  <c r="K55" i="6"/>
  <c r="D64" i="6"/>
  <c r="J64" i="6"/>
  <c r="G64" i="6"/>
  <c r="K64" i="6"/>
  <c r="K69" i="6"/>
  <c r="F69" i="6"/>
  <c r="H69" i="6" s="1"/>
  <c r="E77" i="6"/>
  <c r="J95" i="6"/>
  <c r="E95" i="6"/>
  <c r="F95" i="6"/>
  <c r="H95" i="6" s="1"/>
  <c r="G100" i="6"/>
  <c r="D125" i="6"/>
  <c r="G137" i="6"/>
  <c r="H137" i="6" s="1"/>
  <c r="I144" i="6"/>
  <c r="F147" i="6"/>
  <c r="H147" i="6" s="1"/>
  <c r="E147" i="6"/>
  <c r="I147" i="6" s="1"/>
  <c r="D119" i="6"/>
  <c r="G127" i="6"/>
  <c r="K131" i="6"/>
  <c r="J131" i="6"/>
  <c r="D131" i="6"/>
  <c r="F131" i="6"/>
  <c r="H131" i="6" s="1"/>
  <c r="E131" i="6"/>
  <c r="J138" i="6"/>
  <c r="H153" i="6"/>
  <c r="K167" i="6"/>
  <c r="J167" i="6"/>
  <c r="E97" i="6"/>
  <c r="J97" i="6"/>
  <c r="F97" i="6"/>
  <c r="H97" i="6" s="1"/>
  <c r="K97" i="6"/>
  <c r="F99" i="6"/>
  <c r="G99" i="6"/>
  <c r="D99" i="6"/>
  <c r="I99" i="6" s="1"/>
  <c r="K99" i="6"/>
  <c r="K100" i="6"/>
  <c r="E106" i="6"/>
  <c r="D107" i="6"/>
  <c r="I107" i="6" s="1"/>
  <c r="K117" i="6"/>
  <c r="J119" i="6"/>
  <c r="J121" i="6"/>
  <c r="E121" i="6"/>
  <c r="D121" i="6"/>
  <c r="K121" i="6"/>
  <c r="G121" i="6"/>
  <c r="F121" i="6"/>
  <c r="H121" i="6" s="1"/>
  <c r="D127" i="6"/>
  <c r="F127" i="6"/>
  <c r="H127" i="6" s="1"/>
  <c r="J127" i="6"/>
  <c r="F133" i="6"/>
  <c r="D133" i="6"/>
  <c r="K133" i="6"/>
  <c r="J133" i="6"/>
  <c r="D136" i="6"/>
  <c r="K146" i="6"/>
  <c r="J146" i="6"/>
  <c r="G119" i="6"/>
  <c r="H31" i="6"/>
  <c r="D45" i="6"/>
  <c r="I45" i="6" s="1"/>
  <c r="F51" i="6"/>
  <c r="H51" i="6" s="1"/>
  <c r="F53" i="6"/>
  <c r="H53" i="6" s="1"/>
  <c r="G57" i="6"/>
  <c r="I57" i="6" s="1"/>
  <c r="E59" i="6"/>
  <c r="I59" i="6" s="1"/>
  <c r="F62" i="6"/>
  <c r="H62" i="6" s="1"/>
  <c r="J62" i="6"/>
  <c r="G63" i="6"/>
  <c r="H63" i="6" s="1"/>
  <c r="F64" i="6"/>
  <c r="H64" i="6" s="1"/>
  <c r="E69" i="6"/>
  <c r="I69" i="6" s="1"/>
  <c r="D72" i="6"/>
  <c r="I72" i="6" s="1"/>
  <c r="J72" i="6"/>
  <c r="J84" i="6"/>
  <c r="J85" i="6"/>
  <c r="E87" i="6"/>
  <c r="G90" i="6"/>
  <c r="H90" i="6" s="1"/>
  <c r="J92" i="6"/>
  <c r="E92" i="6"/>
  <c r="I92" i="6" s="1"/>
  <c r="K92" i="6"/>
  <c r="D95" i="6"/>
  <c r="I95" i="6" s="1"/>
  <c r="E102" i="6"/>
  <c r="K102" i="6"/>
  <c r="K103" i="6"/>
  <c r="F103" i="6"/>
  <c r="G105" i="6"/>
  <c r="I105" i="6" s="1"/>
  <c r="K105" i="6"/>
  <c r="J107" i="6"/>
  <c r="G109" i="6"/>
  <c r="H109" i="6" s="1"/>
  <c r="D130" i="6"/>
  <c r="J130" i="6"/>
  <c r="K132" i="6"/>
  <c r="F132" i="6"/>
  <c r="E132" i="6"/>
  <c r="D132" i="6"/>
  <c r="I132" i="6" s="1"/>
  <c r="G132" i="6"/>
  <c r="J132" i="6"/>
  <c r="E133" i="6"/>
  <c r="D139" i="6"/>
  <c r="D146" i="6"/>
  <c r="J68" i="6"/>
  <c r="F68" i="6"/>
  <c r="H68" i="6" s="1"/>
  <c r="F139" i="6"/>
  <c r="H139" i="6" s="1"/>
  <c r="D142" i="6"/>
  <c r="K142" i="6"/>
  <c r="J142" i="6"/>
  <c r="G142" i="6"/>
  <c r="H142" i="6" s="1"/>
  <c r="E142" i="6"/>
  <c r="D151" i="6"/>
  <c r="F151" i="6"/>
  <c r="K151" i="6"/>
  <c r="J151" i="6"/>
  <c r="H144" i="6"/>
  <c r="K157" i="6"/>
  <c r="E157" i="6"/>
  <c r="D157" i="6"/>
  <c r="D159" i="6"/>
  <c r="F159" i="6"/>
  <c r="H159" i="6" s="1"/>
  <c r="K159" i="6"/>
  <c r="J159" i="6"/>
  <c r="J170" i="6"/>
  <c r="D170" i="6"/>
  <c r="K170" i="6"/>
  <c r="F70" i="6"/>
  <c r="H70" i="6" s="1"/>
  <c r="D93" i="6"/>
  <c r="I93" i="6" s="1"/>
  <c r="F93" i="6"/>
  <c r="H93" i="6" s="1"/>
  <c r="E96" i="6"/>
  <c r="J96" i="6"/>
  <c r="E112" i="6"/>
  <c r="F112" i="6"/>
  <c r="H112" i="6" s="1"/>
  <c r="F117" i="6"/>
  <c r="H117" i="6" s="1"/>
  <c r="D118" i="6"/>
  <c r="I118" i="6" s="1"/>
  <c r="J118" i="6"/>
  <c r="J122" i="6"/>
  <c r="D122" i="6"/>
  <c r="J149" i="6"/>
  <c r="F165" i="6"/>
  <c r="J165" i="6"/>
  <c r="K165" i="6"/>
  <c r="E165" i="6"/>
  <c r="I165" i="6" s="1"/>
  <c r="I141" i="6"/>
  <c r="F173" i="6"/>
  <c r="J173" i="6"/>
  <c r="E173" i="6"/>
  <c r="D173" i="6"/>
  <c r="K173" i="6"/>
  <c r="G73" i="6"/>
  <c r="E75" i="6"/>
  <c r="I75" i="6" s="1"/>
  <c r="K77" i="6"/>
  <c r="F91" i="6"/>
  <c r="H91" i="6" s="1"/>
  <c r="D91" i="6"/>
  <c r="G94" i="6"/>
  <c r="G110" i="6"/>
  <c r="K113" i="6"/>
  <c r="J113" i="6"/>
  <c r="G113" i="6"/>
  <c r="H113" i="6" s="1"/>
  <c r="E130" i="6"/>
  <c r="G133" i="6"/>
  <c r="F152" i="6"/>
  <c r="K152" i="6"/>
  <c r="D155" i="6"/>
  <c r="K155" i="6"/>
  <c r="J155" i="6"/>
  <c r="F155" i="6"/>
  <c r="H155" i="6" s="1"/>
  <c r="E155" i="6"/>
  <c r="G157" i="6"/>
  <c r="K164" i="6"/>
  <c r="E154" i="6"/>
  <c r="I154" i="6" s="1"/>
  <c r="D163" i="6"/>
  <c r="K163" i="6"/>
  <c r="J163" i="6"/>
  <c r="F163" i="6"/>
  <c r="H163" i="6" s="1"/>
  <c r="E174" i="6"/>
  <c r="D174" i="6"/>
  <c r="K174" i="6"/>
  <c r="J174" i="6"/>
  <c r="F174" i="6"/>
  <c r="G174" i="6"/>
  <c r="G152" i="6"/>
  <c r="J153" i="6"/>
  <c r="E153" i="6"/>
  <c r="D153" i="6"/>
  <c r="K153" i="6"/>
  <c r="E162" i="6"/>
  <c r="I162" i="6" s="1"/>
  <c r="G167" i="6"/>
  <c r="G125" i="6"/>
  <c r="G135" i="6"/>
  <c r="G136" i="6"/>
  <c r="H136" i="6" s="1"/>
  <c r="E138" i="6"/>
  <c r="K140" i="6"/>
  <c r="F140" i="6"/>
  <c r="H140" i="6" s="1"/>
  <c r="E140" i="6"/>
  <c r="D140" i="6"/>
  <c r="F141" i="6"/>
  <c r="H141" i="6" s="1"/>
  <c r="D143" i="6"/>
  <c r="F143" i="6"/>
  <c r="H143" i="6" s="1"/>
  <c r="K147" i="6"/>
  <c r="J147" i="6"/>
  <c r="F149" i="6"/>
  <c r="J154" i="6"/>
  <c r="G159" i="6"/>
  <c r="J161" i="6"/>
  <c r="F161" i="6"/>
  <c r="H161" i="6" s="1"/>
  <c r="E161" i="6"/>
  <c r="D161" i="6"/>
  <c r="K161" i="6"/>
  <c r="G86" i="6"/>
  <c r="E88" i="6"/>
  <c r="K90" i="6"/>
  <c r="D101" i="6"/>
  <c r="I101" i="6" s="1"/>
  <c r="J103" i="6"/>
  <c r="G103" i="6"/>
  <c r="D120" i="6"/>
  <c r="I120" i="6" s="1"/>
  <c r="K124" i="6"/>
  <c r="F124" i="6"/>
  <c r="H124" i="6" s="1"/>
  <c r="E124" i="6"/>
  <c r="D124" i="6"/>
  <c r="F125" i="6"/>
  <c r="H125" i="6" s="1"/>
  <c r="J125" i="6"/>
  <c r="D134" i="6"/>
  <c r="I134" i="6" s="1"/>
  <c r="K134" i="6"/>
  <c r="J134" i="6"/>
  <c r="E134" i="6"/>
  <c r="J137" i="6"/>
  <c r="E137" i="6"/>
  <c r="D137" i="6"/>
  <c r="I137" i="6" s="1"/>
  <c r="K137" i="6"/>
  <c r="K139" i="6"/>
  <c r="J139" i="6"/>
  <c r="E158" i="6"/>
  <c r="D158" i="6"/>
  <c r="I158" i="6" s="1"/>
  <c r="K158" i="6"/>
  <c r="J158" i="6"/>
  <c r="E163" i="6"/>
  <c r="G165" i="6"/>
  <c r="D167" i="6"/>
  <c r="I167" i="6" s="1"/>
  <c r="F167" i="6"/>
  <c r="H167" i="6" s="1"/>
  <c r="K172" i="6"/>
  <c r="K175" i="6"/>
  <c r="J169" i="6"/>
  <c r="F169" i="6"/>
  <c r="H169" i="6" s="1"/>
  <c r="E169" i="6"/>
  <c r="D169" i="6"/>
  <c r="I169" i="6" s="1"/>
  <c r="K169" i="6"/>
  <c r="J175" i="6"/>
  <c r="K178" i="6"/>
  <c r="J145" i="6"/>
  <c r="E145" i="6"/>
  <c r="D145" i="6"/>
  <c r="K145" i="6"/>
  <c r="E146" i="6"/>
  <c r="K148" i="6"/>
  <c r="F148" i="6"/>
  <c r="H148" i="6" s="1"/>
  <c r="E148" i="6"/>
  <c r="D148" i="6"/>
  <c r="G149" i="6"/>
  <c r="D150" i="6"/>
  <c r="I150" i="6" s="1"/>
  <c r="K150" i="6"/>
  <c r="J150" i="6"/>
  <c r="G151" i="6"/>
  <c r="K156" i="6"/>
  <c r="F157" i="6"/>
  <c r="H157" i="6" s="1"/>
  <c r="J157" i="6"/>
  <c r="E166" i="6"/>
  <c r="D166" i="6"/>
  <c r="K166" i="6"/>
  <c r="J166" i="6"/>
  <c r="H176" i="6"/>
  <c r="D178" i="6"/>
  <c r="J178" i="6"/>
  <c r="J177" i="6"/>
  <c r="G179" i="6"/>
  <c r="G173" i="6"/>
  <c r="D175" i="6"/>
  <c r="F175" i="6"/>
  <c r="H175" i="6" s="1"/>
  <c r="E170" i="6"/>
  <c r="D171" i="6"/>
  <c r="I171" i="6" s="1"/>
  <c r="K171" i="6"/>
  <c r="J171" i="6"/>
  <c r="I176" i="6"/>
  <c r="E119" i="6"/>
  <c r="F122" i="6"/>
  <c r="H122" i="6" s="1"/>
  <c r="E127" i="6"/>
  <c r="F130" i="6"/>
  <c r="H130" i="6" s="1"/>
  <c r="E135" i="6"/>
  <c r="F138" i="6"/>
  <c r="E143" i="6"/>
  <c r="F146" i="6"/>
  <c r="H146" i="6" s="1"/>
  <c r="E151" i="6"/>
  <c r="F154" i="6"/>
  <c r="D156" i="6"/>
  <c r="E159" i="6"/>
  <c r="F162" i="6"/>
  <c r="D164" i="6"/>
  <c r="E167" i="6"/>
  <c r="F170" i="6"/>
  <c r="H170" i="6" s="1"/>
  <c r="D172" i="6"/>
  <c r="E175" i="6"/>
  <c r="K177" i="6"/>
  <c r="F178" i="6"/>
  <c r="H178" i="6" s="1"/>
  <c r="D180" i="6"/>
  <c r="I180" i="6" s="1"/>
  <c r="G122" i="6"/>
  <c r="G130" i="6"/>
  <c r="G138" i="6"/>
  <c r="G146" i="6"/>
  <c r="G154" i="6"/>
  <c r="E156" i="6"/>
  <c r="G162" i="6"/>
  <c r="E164" i="6"/>
  <c r="G170" i="6"/>
  <c r="E172" i="6"/>
  <c r="D177" i="6"/>
  <c r="G178" i="6"/>
  <c r="J179" i="6"/>
  <c r="E180" i="6"/>
  <c r="J120" i="6"/>
  <c r="J128" i="6"/>
  <c r="J136" i="6"/>
  <c r="J144" i="6"/>
  <c r="J152" i="6"/>
  <c r="F156" i="6"/>
  <c r="J160" i="6"/>
  <c r="F164" i="6"/>
  <c r="H164" i="6" s="1"/>
  <c r="J168" i="6"/>
  <c r="F172" i="6"/>
  <c r="H172" i="6" s="1"/>
  <c r="J176" i="6"/>
  <c r="E177" i="6"/>
  <c r="K179" i="6"/>
  <c r="F180" i="6"/>
  <c r="H180" i="6" s="1"/>
  <c r="G156" i="6"/>
  <c r="G164" i="6"/>
  <c r="G172" i="6"/>
  <c r="F177" i="6"/>
  <c r="H177" i="6" s="1"/>
  <c r="D179" i="6"/>
  <c r="G180" i="6"/>
  <c r="G177" i="6"/>
  <c r="E179" i="6"/>
  <c r="F179" i="6"/>
  <c r="H179" i="6" s="1"/>
  <c r="J180" i="6"/>
  <c r="I156" i="6" l="1"/>
  <c r="I143" i="6"/>
  <c r="I157" i="6"/>
  <c r="H151" i="6"/>
  <c r="I97" i="6"/>
  <c r="I106" i="6"/>
  <c r="I73" i="6"/>
  <c r="I126" i="6"/>
  <c r="I67" i="6"/>
  <c r="I41" i="6"/>
  <c r="I54" i="6"/>
  <c r="I115" i="6"/>
  <c r="H57" i="6"/>
  <c r="H47" i="6"/>
  <c r="I55" i="6"/>
  <c r="H45" i="6"/>
  <c r="H154" i="6"/>
  <c r="I175" i="6"/>
  <c r="I151" i="6"/>
  <c r="H132" i="6"/>
  <c r="H103" i="6"/>
  <c r="I131" i="6"/>
  <c r="I90" i="6"/>
  <c r="I70" i="6"/>
  <c r="I87" i="6"/>
  <c r="H49" i="6"/>
  <c r="I48" i="6"/>
  <c r="I79" i="6"/>
  <c r="I103" i="6"/>
  <c r="H37" i="6"/>
  <c r="H156" i="6"/>
  <c r="I172" i="6"/>
  <c r="I166" i="6"/>
  <c r="I145" i="6"/>
  <c r="I124" i="6"/>
  <c r="I140" i="6"/>
  <c r="H174" i="6"/>
  <c r="I163" i="6"/>
  <c r="I155" i="6"/>
  <c r="I173" i="6"/>
  <c r="I170" i="6"/>
  <c r="I146" i="6"/>
  <c r="I133" i="6"/>
  <c r="I121" i="6"/>
  <c r="I125" i="6"/>
  <c r="I138" i="6"/>
  <c r="I109" i="6"/>
  <c r="I78" i="6"/>
  <c r="I104" i="6"/>
  <c r="I86" i="6"/>
  <c r="H105" i="6"/>
  <c r="I33" i="6"/>
  <c r="H123" i="6"/>
  <c r="I100" i="6"/>
  <c r="I96" i="6"/>
  <c r="H111" i="6"/>
  <c r="H80" i="6"/>
  <c r="I61" i="6"/>
  <c r="H39" i="6"/>
  <c r="I77" i="6"/>
  <c r="I40" i="6"/>
  <c r="I32" i="6"/>
  <c r="I177" i="6"/>
  <c r="H165" i="6"/>
  <c r="I139" i="6"/>
  <c r="H133" i="6"/>
  <c r="H135" i="6"/>
  <c r="H94" i="6"/>
  <c r="H78" i="6"/>
  <c r="H110" i="6"/>
  <c r="I112" i="6"/>
  <c r="H42" i="6"/>
  <c r="I53" i="6"/>
  <c r="I47" i="6"/>
  <c r="H40" i="6"/>
  <c r="I148" i="6"/>
  <c r="H149" i="6"/>
  <c r="H152" i="6"/>
  <c r="I91" i="6"/>
  <c r="I152" i="6"/>
  <c r="I130" i="6"/>
  <c r="I149" i="6"/>
  <c r="I135" i="6"/>
  <c r="I43" i="6"/>
  <c r="I71" i="6"/>
  <c r="H79" i="6"/>
  <c r="I110" i="6"/>
  <c r="H86" i="6"/>
  <c r="I88" i="6"/>
  <c r="H115" i="6"/>
  <c r="I111" i="6"/>
  <c r="I46" i="6"/>
  <c r="H32" i="6"/>
  <c r="I179" i="6"/>
  <c r="I164" i="6"/>
  <c r="H138" i="6"/>
  <c r="I153" i="6"/>
  <c r="I174" i="6"/>
  <c r="H173" i="6"/>
  <c r="I122" i="6"/>
  <c r="H99" i="6"/>
  <c r="I119" i="6"/>
  <c r="I64" i="6"/>
  <c r="H129" i="6"/>
  <c r="H107" i="6"/>
  <c r="I84" i="6"/>
  <c r="I74" i="6"/>
  <c r="I89" i="6"/>
  <c r="I60" i="6"/>
  <c r="I44" i="6"/>
  <c r="H128" i="6"/>
  <c r="I98" i="6"/>
  <c r="I66" i="6"/>
  <c r="H77" i="6"/>
  <c r="H162" i="6"/>
  <c r="I178" i="6"/>
  <c r="I161" i="6"/>
  <c r="I142" i="6"/>
  <c r="I127" i="6"/>
  <c r="H119" i="6"/>
  <c r="H36" i="6"/>
  <c r="I35" i="6"/>
  <c r="I56" i="6"/>
  <c r="I128" i="6"/>
  <c r="I62" i="6"/>
  <c r="H101" i="6"/>
  <c r="H65" i="6"/>
  <c r="I68" i="6"/>
  <c r="I159" i="6"/>
  <c r="I136" i="6"/>
  <c r="H100" i="6"/>
  <c r="H73" i="6"/>
  <c r="I116" i="6"/>
  <c r="I36" i="6"/>
  <c r="I37" i="6"/>
  <c r="H66" i="6"/>
  <c r="H34" i="6"/>
  <c r="I65" i="6"/>
  <c r="I51" i="6"/>
  <c r="I49" i="6"/>
  <c r="I83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2A9DF8-33C3-4691-9C4F-8745F0D5D2AC}" keepAlive="1" name="Query - benchmark_results" description="Connection to the 'benchmark_results' query in the workbook." type="5" refreshedVersion="8" background="1" saveData="1">
    <dbPr connection="Provider=Microsoft.Mashup.OleDb.1;Data Source=$Workbook$;Location=benchmark_results;Extended Properties=&quot;&quot;" command="SELECT * FROM [benchmark_result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<sst xmlns="http://schemas.openxmlformats.org/spreadsheetml/2006/main" count="778" uniqueCount="98">
  <si>
    <t>round</t>
  </si>
  <si>
    <t>algo</t>
  </si>
  <si>
    <t>n_tracks</t>
  </si>
  <si>
    <t>target_s</t>
  </si>
  <si>
    <t>runtime_s</t>
  </si>
  <si>
    <t>gap_s</t>
  </si>
  <si>
    <t>timed_out</t>
  </si>
  <si>
    <t>design_playlist_v1</t>
  </si>
  <si>
    <t>design_playlist_v2</t>
  </si>
  <si>
    <t>design_playlist_v3</t>
  </si>
  <si>
    <t>design_playlist_v4</t>
  </si>
  <si>
    <t>Benchmark Analysis — design_playlist v1 to v4</t>
  </si>
  <si>
    <t>Source: benchmark_results table (600 runs = 5 rounds x 4 algorithms x 6 playlist sizes x 5 duration targets). Runtime is blank where a run timed out.</t>
  </si>
  <si>
    <t>Metric</t>
  </si>
  <si>
    <t>Coverage &amp; reliability</t>
  </si>
  <si>
    <t>Runs attempted</t>
  </si>
  <si>
    <t>Runs completed</t>
  </si>
  <si>
    <t>Runs timed out</t>
  </si>
  <si>
    <t>Timeout rate</t>
  </si>
  <si>
    <t>Sizes with &gt;=1 timeout (of 6)</t>
  </si>
  <si>
    <t>Targets with &gt;=1 timeout (of 5)</t>
  </si>
  <si>
    <t>Runtime &amp; reliability by playlist size (n_tracks)</t>
  </si>
  <si>
    <t>Aggregated across 5 rounds x 5 duration targets = 25 runs per algorithm per size. Runtime statistics cover completed runs only.</t>
  </si>
  <si>
    <t>Runtime &amp; reliability by duration target (target_s)</t>
  </si>
  <si>
    <t>Aggregated across 5 rounds x 6 playlist sizes = 30 runs per algorithm per target. Runtime statistics cover completed runs only.</t>
  </si>
  <si>
    <t>Runtime on completed runs (seconds)</t>
  </si>
  <si>
    <t>Mean</t>
  </si>
  <si>
    <t>Median</t>
  </si>
  <si>
    <t>Geometric mean</t>
  </si>
  <si>
    <t>95th percentile</t>
  </si>
  <si>
    <t>Minimum</t>
  </si>
  <si>
    <t>Maximum</t>
  </si>
  <si>
    <t>Total compute time</t>
  </si>
  <si>
    <t>Solution quality (gap_s = seconds away from target)</t>
  </si>
  <si>
    <t>Completed runs hitting target exactly (gap = 0)</t>
  </si>
  <si>
    <t>Share of completed runs with gap = 0</t>
  </si>
  <si>
    <t>Mean gap, all completed runs</t>
  </si>
  <si>
    <t>Max gap</t>
  </si>
  <si>
    <t>Feasible instances only (n_tracks &gt; 10)</t>
  </si>
  <si>
    <t>Completed runs with gap &gt; 0</t>
  </si>
  <si>
    <t>Mean gap</t>
  </si>
  <si>
    <t>Median runtime (s), completed runs</t>
  </si>
  <si>
    <t>Max runtime (s), completed runs</t>
  </si>
  <si>
    <t>Timeouts (of 25 runs)</t>
  </si>
  <si>
    <t>Mean gap (s), completed runs</t>
  </si>
  <si>
    <t>Scaling behaviour — fit of median runtime against playlist size (log-log)</t>
  </si>
  <si>
    <t>Scaling exponent (slope)</t>
  </si>
  <si>
    <t>Runtime multiple per doubling of n</t>
  </si>
  <si>
    <t>R² of log-log fit</t>
  </si>
  <si>
    <t>Note: at n_tracks = 10 the 3600 s and 7200 s targets are unreachable with any algorithm (too little material), so the large mean gaps in that row are instance infeasibility, not algorithm error.</t>
  </si>
  <si>
    <t>Timeouts (of 30 runs)</t>
  </si>
  <si>
    <t>Quality, stability and matched-instance comparison</t>
  </si>
  <si>
    <t>The detail grid below reconstructs all 150 benchmark instances (5 rounds x 5 targets x 6 sizes) with each algorithm's runtime side by side. "TO" = timed out.</t>
  </si>
  <si>
    <t>v3 / v4 runtime</t>
  </si>
  <si>
    <t>Fastest</t>
  </si>
  <si>
    <t>v3 gap_s</t>
  </si>
  <si>
    <t>v4 gap_s</t>
  </si>
  <si>
    <t>Head-to-head: v3 vs v4 on the 150 matched instances</t>
  </si>
  <si>
    <t>Instances where v4 is faster</t>
  </si>
  <si>
    <t>Instances where v3 is faster</t>
  </si>
  <si>
    <t>Instances where v4 is at least 2x faster</t>
  </si>
  <si>
    <t>Median v3 / v4 runtime ratio</t>
  </si>
  <si>
    <t>Geometric mean v3 / v4 ratio</t>
  </si>
  <si>
    <t>Best / worst v3 / v4 ratio</t>
  </si>
  <si>
    <t>Instances completed by all four algorithms</t>
  </si>
  <si>
    <t>Fastest algorithm per instance (count of 150)</t>
  </si>
  <si>
    <t>v1 (note: fast only because it bails out)</t>
  </si>
  <si>
    <t>v2</t>
  </si>
  <si>
    <t>v3</t>
  </si>
  <si>
    <t>v4</t>
  </si>
  <si>
    <t>Gap quality, v3 vs v4 on matched instances</t>
  </si>
  <si>
    <t>Instances where both gaps are identical</t>
  </si>
  <si>
    <t>Instances where v3 leaves the larger gap</t>
  </si>
  <si>
    <t>Instances where v4 leaves the larger gap</t>
  </si>
  <si>
    <t>Largest v3 disadvantage (s)</t>
  </si>
  <si>
    <t>Largest v4 disadvantage (s)</t>
  </si>
  <si>
    <t>Run-to-run stability: median runtime per round (s)</t>
  </si>
  <si>
    <t>algo / round</t>
  </si>
  <si>
    <t>CV across rounds</t>
  </si>
  <si>
    <t>Timeouts per round (of 30 runs)</t>
  </si>
  <si>
    <t>Total</t>
  </si>
  <si>
    <t>Findings</t>
  </si>
  <si>
    <t>1. Only v3 and v4 are viable. Both completed all 150 instances. v1 timed out on 39 of 150 runs (26%), v2 on 95 of 150 (63%).</t>
  </si>
  <si>
    <t>2. v4 is the best algorithm overall. On the 150 matched instances it beats v3 in 144, is at least 2x faster in 96, median speed-up 2.4x (geometric mean 2.2x), worst case still 0.86x. It never leaves a larger gap than v3 (gaps identical in 142 instances, v3 worse in 8, by up to 266 s).</t>
  </si>
  <si>
    <t>3. v4 is also the most stable. Coefficient of variation of median runtime across the 5 rounds: v4 3.5%, v2 10.6%, v3 14.6%, v1 23.2%. Worst single run: v4 1.49 s vs v3 4.10 s vs v2 7.06 s.</t>
  </si>
  <si>
    <t>4. v2 does not scale. Timeouts rise monotonically with playlist size (0, 10, 15, 20, 25, 25 out of 25 runs at n = 10, 30, 50, 100, 200, 400) - it never finished a single run at n = 200 or 400. Where it does finish, its median runtime at n = 100 (0.358 s) is already 25x v4's.</t>
  </si>
  <si>
    <t>5. v1's apparent speed is an artefact, not a win. Its median runtime is 0.0004 s, but its timeouts concentrate on the EASIEST instances (15 of 25 at n = 10; 20 of 30 at target = 300 s) and disappear at large n. That is the signature of a solver that exits immediately and fails rather than searching, so its 110 'fastest per instance' wins should be discounted.</t>
  </si>
  <si>
    <t>6. Scaling is super-linear in playlist size for both viable algorithms: v3 grows as n^1.62 (R2 = 0.94), v4 as n^1.44 (R2 = 0.97) - i.e. 3.1x and 2.7x runtime per doubling of catalogue size. Runtime also grows with the duration target: v4's median goes 0.001 s (300 s target) to 0.117 s (7200 s target).</t>
  </si>
  <si>
    <t>7. Solution quality is essentially a tie and near-perfect. v4 hits the target exactly in 129 of 150 runs (86%), v3 in 125 of 150 (83%). Restricted to feasible instances (n_tracks &gt; 10), v4 misses in 1 run by 1 s and v3 in 5 runs by up to 24 s.</t>
  </si>
  <si>
    <t>8. The huge gaps in the data are instance infeasibility, not algorithm error: every algorithm misses by ~1,100-5,200 s at n_tracks = 10 with 3600 s / 7200 s targets, because 10 tracks cannot fill 1-2 hours. Exclude that row before judging quality.</t>
  </si>
  <si>
    <t>9. Total suite cost: v4 13.1 s vs v3 38.4 s of compute for identical coverage - v4 is ~2.9x cheaper to run end to end.</t>
  </si>
  <si>
    <t>Recommendation</t>
  </si>
  <si>
    <t>Ship v4 as the default; keep v3 as a fallback since it is the only other algorithm with full coverage and matches v4 on quality. Retire v2 (unusable above n = 100). Treat v1 as a defect rather than a slow algorithm: investigate why it times out on the smallest, shortest instances while succeeding on larger ones.</t>
  </si>
  <si>
    <t>Chart source — median runtime (s); #N/A = never completed</t>
  </si>
  <si>
    <t>v1</t>
  </si>
  <si>
    <t>Chart source — timeouts (of 25 runs)</t>
  </si>
  <si>
    <t>Chart source — timeouts (of 30 runs)</t>
  </si>
  <si>
    <t>Note: v1's and v2's medians fall at the 3600 s / 7200 s targets only because of survivorship — at those targets they finish almost exclusively the trivial n_tracks = 10 instances and time out on the rest. Read those rows together with the timeout counts.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</si>
</sst>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00000"/>
    <numFmt numFmtId="166" formatCode="0.000"/>
    <numFmt numFmtId="167" formatCode="0.0"/>
    <numFmt numFmtId="168" formatCode="0.00&quot;x&quot;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NumberForma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1" fillId="0" borderId="0" xfId="0" applyFont="1"/>
    <xf numFmtId="0" fontId="1" fillId="3" borderId="0" xfId="0" applyFont="1" applyFill="1"/>
    <xf numFmtId="164" fontId="0" fillId="0" borderId="0" xfId="0" applyNumberFormat="1"/>
    <xf numFmtId="0" fontId="5" fillId="0" borderId="0" xfId="0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" fontId="0" fillId="0" borderId="0" xfId="0" applyNumberFormat="1"/>
    <xf numFmtId="0" fontId="6" fillId="0" borderId="0" xfId="0" applyFont="1"/>
    <xf numFmtId="0" fontId="1" fillId="4" borderId="0" xfId="0" applyFont="1" applyFill="1"/>
    <xf numFmtId="0" fontId="1" fillId="5" borderId="0" xfId="0" applyFont="1" applyFill="1"/>
    <xf numFmtId="0" fontId="1" fillId="0" borderId="0" xfId="0" applyFont="1" applyAlignment="1">
      <alignment horizontal="center"/>
    </xf>
    <xf numFmtId="2" fontId="0" fillId="0" borderId="0" xfId="0" applyNumberFormat="1"/>
    <xf numFmtId="168" fontId="0" fillId="0" borderId="0" xfId="0" applyNumberFormat="1"/>
    <xf numFmtId="0" fontId="7" fillId="3" borderId="0" xfId="0" applyFont="1" applyFill="1"/>
    <xf numFmtId="0" fontId="0" fillId="0" borderId="0" xfId="0" applyAlignment="1"/>
    <xf numFmtId="0" fontId="7" fillId="3" borderId="0" xfId="0" applyFont="1" applyFill="1" applyAlignmen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runtime vs playlist size (log scale)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'By Size'!$W$4</c:f>
              <c:strCache>
                <c:ptCount val="1"/>
                <c:pt idx="0">
                  <c:v>v1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'By Size'!$V$5:$V$10</c:f>
              <c:strCache>
                <c:ptCount val="6"/>
                <c:pt idx="0">
                  <c:v>10</c:v>
                </c:pt>
                <c:pt idx="1">
                  <c:v>30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400</c:v>
                </c:pt>
              </c:strCache>
            </c:strRef>
          </c:cat>
          <c:val>
            <c:numRef>
              <c:f>'By Size'!$W$5:$W$10</c:f>
              <c:numCache>
                <c:formatCode>0.000000</c:formatCode>
                <c:ptCount val="6"/>
                <c:pt idx="0">
                  <c:v>2.1100000594742596E-5</c:v>
                </c:pt>
                <c:pt idx="1">
                  <c:v>2.5810000079218298E-4</c:v>
                </c:pt>
                <c:pt idx="2">
                  <c:v>6.5279999398626387E-4</c:v>
                </c:pt>
                <c:pt idx="3">
                  <c:v>7.073499946272932E-4</c:v>
                </c:pt>
                <c:pt idx="4">
                  <c:v>5.4799999634269625E-4</c:v>
                </c:pt>
                <c:pt idx="5">
                  <c:v>6.5500000346219167E-4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02-465D-A8A6-5ED4C3374730}"/>
            </c:ext>
          </c:extLst>
        </c:ser>
        <c:ser>
          <c:idx val="1"/>
          <c:order val="1"/>
          <c:tx>
            <c:strRef>
              <c:f>'By Size'!$X$4</c:f>
              <c:strCache>
                <c:ptCount val="1"/>
                <c:pt idx="0">
                  <c:v>v2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'By Size'!$V$5:$V$10</c:f>
              <c:strCache>
                <c:ptCount val="6"/>
                <c:pt idx="0">
                  <c:v>10</c:v>
                </c:pt>
                <c:pt idx="1">
                  <c:v>30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400</c:v>
                </c:pt>
              </c:strCache>
            </c:strRef>
          </c:cat>
          <c:val>
            <c:numRef>
              <c:f>'By Size'!$X$5:$X$10</c:f>
              <c:numCache>
                <c:formatCode>0.000000</c:formatCode>
                <c:ptCount val="6"/>
                <c:pt idx="0">
                  <c:v>3.7680000241380185E-4</c:v>
                </c:pt>
                <c:pt idx="1">
                  <c:v>2.8075800000806339E-2</c:v>
                </c:pt>
                <c:pt idx="2">
                  <c:v>0.21523490000254242</c:v>
                </c:pt>
                <c:pt idx="3">
                  <c:v>0.35812770000484306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02-465D-A8A6-5ED4C3374730}"/>
            </c:ext>
          </c:extLst>
        </c:ser>
        <c:ser>
          <c:idx val="2"/>
          <c:order val="2"/>
          <c:tx>
            <c:strRef>
              <c:f>'By Size'!$Y$4</c:f>
              <c:strCache>
                <c:ptCount val="1"/>
                <c:pt idx="0">
                  <c:v>v3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'By Size'!$V$5:$V$10</c:f>
              <c:strCache>
                <c:ptCount val="6"/>
                <c:pt idx="0">
                  <c:v>10</c:v>
                </c:pt>
                <c:pt idx="1">
                  <c:v>30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400</c:v>
                </c:pt>
              </c:strCache>
            </c:strRef>
          </c:cat>
          <c:val>
            <c:numRef>
              <c:f>'By Size'!$Y$5:$Y$10</c:f>
              <c:numCache>
                <c:formatCode>0.000000</c:formatCode>
                <c:ptCount val="6"/>
                <c:pt idx="0">
                  <c:v>3.5170000046491623E-4</c:v>
                </c:pt>
                <c:pt idx="1">
                  <c:v>9.0800000034505501E-3</c:v>
                </c:pt>
                <c:pt idx="2">
                  <c:v>1.3782599999103695E-2</c:v>
                </c:pt>
                <c:pt idx="3">
                  <c:v>4.1201100000762381E-2</c:v>
                </c:pt>
                <c:pt idx="4">
                  <c:v>8.8659500004723668E-2</c:v>
                </c:pt>
                <c:pt idx="5">
                  <c:v>0.19200979999732226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02-465D-A8A6-5ED4C3374730}"/>
            </c:ext>
          </c:extLst>
        </c:ser>
        <c:ser>
          <c:idx val="3"/>
          <c:order val="3"/>
          <c:tx>
            <c:strRef>
              <c:f>'By Size'!$Z$4</c:f>
              <c:strCache>
                <c:ptCount val="1"/>
                <c:pt idx="0">
                  <c:v>v4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'By Size'!$V$5:$V$10</c:f>
              <c:strCache>
                <c:ptCount val="6"/>
                <c:pt idx="0">
                  <c:v>10</c:v>
                </c:pt>
                <c:pt idx="1">
                  <c:v>30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400</c:v>
                </c:pt>
              </c:strCache>
            </c:strRef>
          </c:cat>
          <c:val>
            <c:numRef>
              <c:f>'By Size'!$Z$5:$Z$10</c:f>
              <c:numCache>
                <c:formatCode>0.000000</c:formatCode>
                <c:ptCount val="6"/>
                <c:pt idx="0">
                  <c:v>2.6000000070780516E-4</c:v>
                </c:pt>
                <c:pt idx="1">
                  <c:v>3.1424999906448647E-3</c:v>
                </c:pt>
                <c:pt idx="2">
                  <c:v>5.1500999979907647E-3</c:v>
                </c:pt>
                <c:pt idx="3">
                  <c:v>1.4605000003939494E-2</c:v>
                </c:pt>
                <c:pt idx="4">
                  <c:v>2.5429299988900311E-2</c:v>
                </c:pt>
                <c:pt idx="5">
                  <c:v>6.746930000372231E-2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02-465D-A8A6-5ED4C3374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793535"/>
        <c:axId val="867798127"/>
      </c:lineChart>
      <c:catAx>
        <c:axId val="1577935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n_tracks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798127"/>
        <c:crosses val="autoZero"/>
        <c:auto val="1"/>
        <c:lblAlgn val="ctr"/>
        <c:lblOffset val="100"/>
        <c:noMultiLvlLbl val="0"/>
      </c:catAx>
      <c:valAx>
        <c:axId val="86779812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Median runtime (s, log)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93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Timeouts by playlist size (of 25 runs)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 Size'!$AC$4</c:f>
              <c:strCache>
                <c:ptCount val="1"/>
                <c:pt idx="0">
                  <c:v>v1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Size'!$AB$5:$AB$10</c:f>
              <c:strCache>
                <c:ptCount val="6"/>
                <c:pt idx="0">
                  <c:v>10</c:v>
                </c:pt>
                <c:pt idx="1">
                  <c:v>30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400</c:v>
                </c:pt>
              </c:strCache>
            </c:strRef>
          </c:cat>
          <c:val>
            <c:numRef>
              <c:f>'By Size'!$AC$5:$AC$10</c:f>
              <c:numCache>
                <c:formatCode>General</c:formatCode>
                <c:ptCount val="6"/>
                <c:pt idx="0">
                  <c:v>15</c:v>
                </c:pt>
                <c:pt idx="1">
                  <c:v>12</c:v>
                </c:pt>
                <c:pt idx="2">
                  <c:v>6</c:v>
                </c:pt>
                <c:pt idx="3">
                  <c:v>3</c:v>
                </c:pt>
                <c:pt idx="4">
                  <c:v>0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49-49D0-9B1E-AD736CE9BB14}"/>
            </c:ext>
          </c:extLst>
        </c:ser>
        <c:ser>
          <c:idx val="1"/>
          <c:order val="1"/>
          <c:tx>
            <c:strRef>
              <c:f>'By Size'!$AD$4</c:f>
              <c:strCache>
                <c:ptCount val="1"/>
                <c:pt idx="0">
                  <c:v>v2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'By Size'!$AB$5:$AB$10</c:f>
              <c:strCache>
                <c:ptCount val="6"/>
                <c:pt idx="0">
                  <c:v>10</c:v>
                </c:pt>
                <c:pt idx="1">
                  <c:v>30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400</c:v>
                </c:pt>
              </c:strCache>
            </c:strRef>
          </c:cat>
          <c:val>
            <c:numRef>
              <c:f>'By Size'!$AD$5:$AD$10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49-49D0-9B1E-AD736CE9BB14}"/>
            </c:ext>
          </c:extLst>
        </c:ser>
        <c:ser>
          <c:idx val="2"/>
          <c:order val="2"/>
          <c:tx>
            <c:strRef>
              <c:f>'By Size'!$AE$4</c:f>
              <c:strCache>
                <c:ptCount val="1"/>
                <c:pt idx="0">
                  <c:v>v3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'By Size'!$AB$5:$AB$10</c:f>
              <c:strCache>
                <c:ptCount val="6"/>
                <c:pt idx="0">
                  <c:v>10</c:v>
                </c:pt>
                <c:pt idx="1">
                  <c:v>30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400</c:v>
                </c:pt>
              </c:strCache>
            </c:strRef>
          </c:cat>
          <c:val>
            <c:numRef>
              <c:f>'By Size'!$AE$5:$AE$10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49-49D0-9B1E-AD736CE9BB14}"/>
            </c:ext>
          </c:extLst>
        </c:ser>
        <c:ser>
          <c:idx val="3"/>
          <c:order val="3"/>
          <c:tx>
            <c:strRef>
              <c:f>'By Size'!$AF$4</c:f>
              <c:strCache>
                <c:ptCount val="1"/>
                <c:pt idx="0">
                  <c:v>v4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'By Size'!$AB$5:$AB$10</c:f>
              <c:strCache>
                <c:ptCount val="6"/>
                <c:pt idx="0">
                  <c:v>10</c:v>
                </c:pt>
                <c:pt idx="1">
                  <c:v>30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400</c:v>
                </c:pt>
              </c:strCache>
            </c:strRef>
          </c:cat>
          <c:val>
            <c:numRef>
              <c:f>'By Size'!$AF$5:$AF$10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49-49D0-9B1E-AD736CE9B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1182383"/>
        <c:axId val="418167631"/>
      </c:barChart>
      <c:catAx>
        <c:axId val="1821182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n_tracks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167631"/>
        <c:crosses val="autoZero"/>
        <c:auto val="1"/>
        <c:lblAlgn val="ctr"/>
        <c:lblOffset val="100"/>
        <c:noMultiLvlLbl val="0"/>
      </c:catAx>
      <c:valAx>
        <c:axId val="41816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Timeouts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18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runtime vs duration target (log scale)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'By Target'!$W$4</c:f>
              <c:strCache>
                <c:ptCount val="1"/>
                <c:pt idx="0">
                  <c:v>v1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'By Target'!$V$5:$V$9</c:f>
              <c:strCache>
                <c:ptCount val="5"/>
                <c:pt idx="0">
                  <c:v>300</c:v>
                </c:pt>
                <c:pt idx="1">
                  <c:v>600</c:v>
                </c:pt>
                <c:pt idx="2">
                  <c:v>1200</c:v>
                </c:pt>
                <c:pt idx="3">
                  <c:v>3600</c:v>
                </c:pt>
                <c:pt idx="4">
                  <c:v>7200</c:v>
                </c:pt>
              </c:strCache>
            </c:strRef>
          </c:cat>
          <c:val>
            <c:numRef>
              <c:f>'By Target'!$W$5:$W$9</c:f>
              <c:numCache>
                <c:formatCode>0.000000</c:formatCode>
                <c:ptCount val="5"/>
                <c:pt idx="0">
                  <c:v>3.7234999763313681E-4</c:v>
                </c:pt>
                <c:pt idx="1">
                  <c:v>1.3998999929754063E-3</c:v>
                </c:pt>
                <c:pt idx="2">
                  <c:v>8.9999999909196049E-4</c:v>
                </c:pt>
                <c:pt idx="3">
                  <c:v>1.656500026001595E-4</c:v>
                </c:pt>
                <c:pt idx="4">
                  <c:v>3.8630000199191272E-4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19-49E4-991B-A5991061711E}"/>
            </c:ext>
          </c:extLst>
        </c:ser>
        <c:ser>
          <c:idx val="1"/>
          <c:order val="1"/>
          <c:tx>
            <c:strRef>
              <c:f>'By Target'!$X$4</c:f>
              <c:strCache>
                <c:ptCount val="1"/>
                <c:pt idx="0">
                  <c:v>v2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'By Target'!$V$5:$V$9</c:f>
              <c:strCache>
                <c:ptCount val="5"/>
                <c:pt idx="0">
                  <c:v>300</c:v>
                </c:pt>
                <c:pt idx="1">
                  <c:v>600</c:v>
                </c:pt>
                <c:pt idx="2">
                  <c:v>1200</c:v>
                </c:pt>
                <c:pt idx="3">
                  <c:v>3600</c:v>
                </c:pt>
                <c:pt idx="4">
                  <c:v>7200</c:v>
                </c:pt>
              </c:strCache>
            </c:strRef>
          </c:cat>
          <c:val>
            <c:numRef>
              <c:f>'By Target'!$X$5:$X$9</c:f>
              <c:numCache>
                <c:formatCode>0.000000</c:formatCode>
                <c:ptCount val="5"/>
                <c:pt idx="0">
                  <c:v>4.4403499996406026E-3</c:v>
                </c:pt>
                <c:pt idx="1">
                  <c:v>2.8075800000806339E-2</c:v>
                </c:pt>
                <c:pt idx="2">
                  <c:v>0.43352764999144711</c:v>
                </c:pt>
                <c:pt idx="3">
                  <c:v>6.0720001056324691E-4</c:v>
                </c:pt>
                <c:pt idx="4">
                  <c:v>5.5389999761246145E-4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19-49E4-991B-A5991061711E}"/>
            </c:ext>
          </c:extLst>
        </c:ser>
        <c:ser>
          <c:idx val="2"/>
          <c:order val="2"/>
          <c:tx>
            <c:strRef>
              <c:f>'By Target'!$Y$4</c:f>
              <c:strCache>
                <c:ptCount val="1"/>
                <c:pt idx="0">
                  <c:v>v3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'By Target'!$V$5:$V$9</c:f>
              <c:strCache>
                <c:ptCount val="5"/>
                <c:pt idx="0">
                  <c:v>300</c:v>
                </c:pt>
                <c:pt idx="1">
                  <c:v>600</c:v>
                </c:pt>
                <c:pt idx="2">
                  <c:v>1200</c:v>
                </c:pt>
                <c:pt idx="3">
                  <c:v>3600</c:v>
                </c:pt>
                <c:pt idx="4">
                  <c:v>7200</c:v>
                </c:pt>
              </c:strCache>
            </c:strRef>
          </c:cat>
          <c:val>
            <c:numRef>
              <c:f>'By Target'!$Y$5:$Y$9</c:f>
              <c:numCache>
                <c:formatCode>0.000000</c:formatCode>
                <c:ptCount val="5"/>
                <c:pt idx="0">
                  <c:v>1.5707999918959104E-3</c:v>
                </c:pt>
                <c:pt idx="1">
                  <c:v>7.7805999972042628E-3</c:v>
                </c:pt>
                <c:pt idx="2">
                  <c:v>3.2857850004802458E-2</c:v>
                </c:pt>
                <c:pt idx="3">
                  <c:v>0.12893554999754997</c:v>
                </c:pt>
                <c:pt idx="4">
                  <c:v>0.32679480000660988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19-49E4-991B-A5991061711E}"/>
            </c:ext>
          </c:extLst>
        </c:ser>
        <c:ser>
          <c:idx val="3"/>
          <c:order val="3"/>
          <c:tx>
            <c:strRef>
              <c:f>'By Target'!$Z$4</c:f>
              <c:strCache>
                <c:ptCount val="1"/>
                <c:pt idx="0">
                  <c:v>v4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'By Target'!$V$5:$V$9</c:f>
              <c:strCache>
                <c:ptCount val="5"/>
                <c:pt idx="0">
                  <c:v>300</c:v>
                </c:pt>
                <c:pt idx="1">
                  <c:v>600</c:v>
                </c:pt>
                <c:pt idx="2">
                  <c:v>1200</c:v>
                </c:pt>
                <c:pt idx="3">
                  <c:v>3600</c:v>
                </c:pt>
                <c:pt idx="4">
                  <c:v>7200</c:v>
                </c:pt>
              </c:strCache>
            </c:strRef>
          </c:cat>
          <c:val>
            <c:numRef>
              <c:f>'By Target'!$Z$5:$Z$9</c:f>
              <c:numCache>
                <c:formatCode>0.000000</c:formatCode>
                <c:ptCount val="5"/>
                <c:pt idx="0">
                  <c:v>9.6885000675683841E-4</c:v>
                </c:pt>
                <c:pt idx="1">
                  <c:v>3.5948000077041797E-3</c:v>
                </c:pt>
                <c:pt idx="2">
                  <c:v>9.4449500029440969E-3</c:v>
                </c:pt>
                <c:pt idx="3">
                  <c:v>4.6042050002142787E-2</c:v>
                </c:pt>
                <c:pt idx="4">
                  <c:v>0.11719620000076247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19-49E4-991B-A59910617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6728991"/>
        <c:axId val="867806767"/>
      </c:lineChart>
      <c:catAx>
        <c:axId val="856728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target_s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806767"/>
        <c:crosses val="autoZero"/>
        <c:auto val="1"/>
        <c:lblAlgn val="ctr"/>
        <c:lblOffset val="100"/>
        <c:noMultiLvlLbl val="0"/>
      </c:catAx>
      <c:valAx>
        <c:axId val="86780676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Median runtime (s, log)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728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Timeouts by duration target (of 30 runs)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 Target'!$AC$4</c:f>
              <c:strCache>
                <c:ptCount val="1"/>
                <c:pt idx="0">
                  <c:v>v1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Target'!$AB$5:$AB$9</c:f>
              <c:strCache>
                <c:ptCount val="5"/>
                <c:pt idx="0">
                  <c:v>300</c:v>
                </c:pt>
                <c:pt idx="1">
                  <c:v>600</c:v>
                </c:pt>
                <c:pt idx="2">
                  <c:v>1200</c:v>
                </c:pt>
                <c:pt idx="3">
                  <c:v>3600</c:v>
                </c:pt>
                <c:pt idx="4">
                  <c:v>7200</c:v>
                </c:pt>
              </c:strCache>
            </c:strRef>
          </c:cat>
          <c:val>
            <c:numRef>
              <c:f>'By Target'!$AC$5:$AC$9</c:f>
              <c:numCache>
                <c:formatCode>General</c:formatCode>
                <c:ptCount val="5"/>
                <c:pt idx="0">
                  <c:v>20</c:v>
                </c:pt>
                <c:pt idx="1">
                  <c:v>11</c:v>
                </c:pt>
                <c:pt idx="2">
                  <c:v>5</c:v>
                </c:pt>
                <c:pt idx="3">
                  <c:v>0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BF-46F9-8391-F8331857E9E3}"/>
            </c:ext>
          </c:extLst>
        </c:ser>
        <c:ser>
          <c:idx val="1"/>
          <c:order val="1"/>
          <c:tx>
            <c:strRef>
              <c:f>'By Target'!$AD$4</c:f>
              <c:strCache>
                <c:ptCount val="1"/>
                <c:pt idx="0">
                  <c:v>v2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'By Target'!$AB$5:$AB$9</c:f>
              <c:strCache>
                <c:ptCount val="5"/>
                <c:pt idx="0">
                  <c:v>300</c:v>
                </c:pt>
                <c:pt idx="1">
                  <c:v>600</c:v>
                </c:pt>
                <c:pt idx="2">
                  <c:v>1200</c:v>
                </c:pt>
                <c:pt idx="3">
                  <c:v>3600</c:v>
                </c:pt>
                <c:pt idx="4">
                  <c:v>7200</c:v>
                </c:pt>
              </c:strCache>
            </c:strRef>
          </c:cat>
          <c:val>
            <c:numRef>
              <c:f>'By Target'!$AD$5:$AD$9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BF-46F9-8391-F8331857E9E3}"/>
            </c:ext>
          </c:extLst>
        </c:ser>
        <c:ser>
          <c:idx val="2"/>
          <c:order val="2"/>
          <c:tx>
            <c:strRef>
              <c:f>'By Target'!$AE$4</c:f>
              <c:strCache>
                <c:ptCount val="1"/>
                <c:pt idx="0">
                  <c:v>v3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'By Target'!$AB$5:$AB$9</c:f>
              <c:strCache>
                <c:ptCount val="5"/>
                <c:pt idx="0">
                  <c:v>300</c:v>
                </c:pt>
                <c:pt idx="1">
                  <c:v>600</c:v>
                </c:pt>
                <c:pt idx="2">
                  <c:v>1200</c:v>
                </c:pt>
                <c:pt idx="3">
                  <c:v>3600</c:v>
                </c:pt>
                <c:pt idx="4">
                  <c:v>7200</c:v>
                </c:pt>
              </c:strCache>
            </c:strRef>
          </c:cat>
          <c:val>
            <c:numRef>
              <c:f>'By Target'!$AE$5:$AE$9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BF-46F9-8391-F8331857E9E3}"/>
            </c:ext>
          </c:extLst>
        </c:ser>
        <c:ser>
          <c:idx val="3"/>
          <c:order val="3"/>
          <c:tx>
            <c:strRef>
              <c:f>'By Target'!$AF$4</c:f>
              <c:strCache>
                <c:ptCount val="1"/>
                <c:pt idx="0">
                  <c:v>v4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'By Target'!$AB$5:$AB$9</c:f>
              <c:strCache>
                <c:ptCount val="5"/>
                <c:pt idx="0">
                  <c:v>300</c:v>
                </c:pt>
                <c:pt idx="1">
                  <c:v>600</c:v>
                </c:pt>
                <c:pt idx="2">
                  <c:v>1200</c:v>
                </c:pt>
                <c:pt idx="3">
                  <c:v>3600</c:v>
                </c:pt>
                <c:pt idx="4">
                  <c:v>7200</c:v>
                </c:pt>
              </c:strCache>
            </c:strRef>
          </c:cat>
          <c:val>
            <c:numRef>
              <c:f>'By Target'!$AF$5:$AF$9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BF-46F9-8391-F8331857E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1137839"/>
        <c:axId val="867794767"/>
      </c:barChart>
      <c:catAx>
        <c:axId val="1821137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target_s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794767"/>
        <c:crosses val="autoZero"/>
        <c:auto val="1"/>
        <c:lblAlgn val="ctr"/>
        <c:lblOffset val="100"/>
        <c:noMultiLvlLbl val="0"/>
      </c:catAx>
      <c:valAx>
        <c:axId val="86779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Timeouts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13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3</xdr:col>
      <xdr:colOff>1140460</xdr:colOff>
      <xdr:row>39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8F20E4-5458-F7DD-B220-FD97B1F57C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1333499</xdr:colOff>
      <xdr:row>19</xdr:row>
      <xdr:rowOff>0</xdr:rowOff>
    </xdr:from>
    <xdr:to>
      <xdr:col>14</xdr:col>
      <xdr:colOff>1269999</xdr:colOff>
      <xdr:row>39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F339C15-486A-13AA-D705-F27BF5DDA2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5</xdr:col>
      <xdr:colOff>127000</xdr:colOff>
      <xdr:row>31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62BE80-0417-9082-138C-4CBF0D9BA3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11</xdr:row>
      <xdr:rowOff>0</xdr:rowOff>
    </xdr:from>
    <xdr:to>
      <xdr:col>14</xdr:col>
      <xdr:colOff>1270000</xdr:colOff>
      <xdr:row>31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B8842E-8136-E421-1ED4-A975B15073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2793321-3C92-477E-9C4A-A6DC9B572A24}" autoFormatId="16" applyNumberFormats="0" applyBorderFormats="0" applyFontFormats="0" applyPatternFormats="0" applyAlignmentFormats="0" applyWidthHeightFormats="0">
  <queryTableRefresh nextId="8">
    <queryTableFields count="7">
      <queryTableField id="1" name="round" tableColumnId="1"/>
      <queryTableField id="2" name="algo" tableColumnId="2"/>
      <queryTableField id="3" name="n_tracks" tableColumnId="3"/>
      <queryTableField id="4" name="target_s" tableColumnId="4"/>
      <queryTableField id="5" name="runtime_s" tableColumnId="5"/>
      <queryTableField id="6" name="gap_s" tableColumnId="6"/>
      <queryTableField id="7" name="timed_ou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61EDBF-AA95-4512-AC75-722437CEC199}" name="benchmark_results" displayName="benchmark_results" ref="A1:G601" tableType="queryTable" totalsRowShown="0">
  <autoFilter ref="A1:G601" xr:uid="{8D61EDBF-AA95-4512-AC75-722437CEC199}"/>
  <tableColumns count="7">
    <tableColumn id="1" xr3:uid="{DEBB02C7-4E9C-4F21-B6BA-1C20ACCFF6F8}" uniqueName="1" name="round" queryTableFieldId="1"/>
    <tableColumn id="2" xr3:uid="{3DEAE9ED-699A-45C5-8102-D8261B3DDD4C}" uniqueName="2" name="algo" queryTableFieldId="2" dataDxfId="0"/>
    <tableColumn id="3" xr3:uid="{10A7234D-5020-44C4-B510-95B528278810}" uniqueName="3" name="n_tracks" queryTableFieldId="3"/>
    <tableColumn id="4" xr3:uid="{525C4A35-96C9-445C-8EED-C14774FDD29D}" uniqueName="4" name="target_s" queryTableFieldId="4"/>
    <tableColumn id="5" xr3:uid="{D0906600-4EE9-4BFB-8C00-8D81A9F3454A}" uniqueName="5" name="runtime_s" queryTableFieldId="5"/>
    <tableColumn id="6" xr3:uid="{9E314867-580D-409F-8D17-5F019318B9CE}" uniqueName="6" name="gap_s" queryTableFieldId="6"/>
    <tableColumn id="7" xr3:uid="{BABC5112-3F18-439B-BD13-E10C1081D166}" uniqueName="7" name="timed_ou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C811C67-775A-48CB-8146-2B1A86DFCC34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a02971e-272a-4e0b-bc90-8677483292e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FCB11-706C-4B6E-B666-3A45453CFF70}">
  <dimension ref="A1:G601"/>
  <sheetViews>
    <sheetView tabSelected="1" topLeftCell="A561" workbookViewId="0">
      <selection activeCell="H7" sqref="H7"/>
    </sheetView>
  </sheetViews>
  <sheetFormatPr defaultRowHeight="14.4" x14ac:dyDescent="0.3"/>
  <cols>
    <col min="1" max="1" width="8.33203125" bestFit="1" customWidth="1"/>
    <col min="2" max="2" width="15.77734375" bestFit="1" customWidth="1"/>
    <col min="3" max="3" width="10.33203125" bestFit="1" customWidth="1"/>
    <col min="4" max="4" width="10" bestFit="1" customWidth="1"/>
    <col min="5" max="5" width="11.6640625" bestFit="1" customWidth="1"/>
    <col min="6" max="6" width="8.109375" bestFit="1" customWidth="1"/>
    <col min="7" max="7" width="12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 s="1" t="s">
        <v>7</v>
      </c>
      <c r="C2">
        <v>10</v>
      </c>
      <c r="D2">
        <v>300</v>
      </c>
      <c r="G2" t="b">
        <v>1</v>
      </c>
    </row>
    <row r="3" spans="1:7" x14ac:dyDescent="0.3">
      <c r="A3">
        <v>0</v>
      </c>
      <c r="B3" s="1" t="s">
        <v>8</v>
      </c>
      <c r="C3">
        <v>10</v>
      </c>
      <c r="D3">
        <v>300</v>
      </c>
      <c r="E3">
        <v>1.0760000441223383E-4</v>
      </c>
      <c r="F3">
        <v>0</v>
      </c>
      <c r="G3" t="b">
        <v>0</v>
      </c>
    </row>
    <row r="4" spans="1:7" x14ac:dyDescent="0.3">
      <c r="A4">
        <v>0</v>
      </c>
      <c r="B4" s="1" t="s">
        <v>9</v>
      </c>
      <c r="C4">
        <v>10</v>
      </c>
      <c r="D4">
        <v>300</v>
      </c>
      <c r="E4">
        <v>4.8999994760379195E-5</v>
      </c>
      <c r="F4">
        <v>0</v>
      </c>
      <c r="G4" t="b">
        <v>0</v>
      </c>
    </row>
    <row r="5" spans="1:7" x14ac:dyDescent="0.3">
      <c r="A5">
        <v>0</v>
      </c>
      <c r="B5" s="1" t="s">
        <v>10</v>
      </c>
      <c r="C5">
        <v>10</v>
      </c>
      <c r="D5">
        <v>300</v>
      </c>
      <c r="E5">
        <v>4.8400004743598402E-5</v>
      </c>
      <c r="F5">
        <v>0</v>
      </c>
      <c r="G5" t="b">
        <v>0</v>
      </c>
    </row>
    <row r="6" spans="1:7" x14ac:dyDescent="0.3">
      <c r="A6">
        <v>0</v>
      </c>
      <c r="B6" s="1" t="s">
        <v>7</v>
      </c>
      <c r="C6">
        <v>30</v>
      </c>
      <c r="D6">
        <v>300</v>
      </c>
      <c r="G6" t="b">
        <v>1</v>
      </c>
    </row>
    <row r="7" spans="1:7" x14ac:dyDescent="0.3">
      <c r="A7">
        <v>0</v>
      </c>
      <c r="B7" s="1" t="s">
        <v>8</v>
      </c>
      <c r="C7">
        <v>30</v>
      </c>
      <c r="D7">
        <v>300</v>
      </c>
      <c r="E7">
        <v>1.8689999997150153E-3</v>
      </c>
      <c r="F7">
        <v>0</v>
      </c>
      <c r="G7" t="b">
        <v>0</v>
      </c>
    </row>
    <row r="8" spans="1:7" x14ac:dyDescent="0.3">
      <c r="A8">
        <v>0</v>
      </c>
      <c r="B8" s="1" t="s">
        <v>9</v>
      </c>
      <c r="C8">
        <v>30</v>
      </c>
      <c r="D8">
        <v>300</v>
      </c>
      <c r="E8">
        <v>2.1379999816417694E-4</v>
      </c>
      <c r="F8">
        <v>0</v>
      </c>
      <c r="G8" t="b">
        <v>0</v>
      </c>
    </row>
    <row r="9" spans="1:7" x14ac:dyDescent="0.3">
      <c r="A9">
        <v>0</v>
      </c>
      <c r="B9" s="1" t="s">
        <v>10</v>
      </c>
      <c r="C9">
        <v>30</v>
      </c>
      <c r="D9">
        <v>300</v>
      </c>
      <c r="E9">
        <v>1.4020000526215881E-4</v>
      </c>
      <c r="F9">
        <v>0</v>
      </c>
      <c r="G9" t="b">
        <v>0</v>
      </c>
    </row>
    <row r="10" spans="1:7" x14ac:dyDescent="0.3">
      <c r="A10">
        <v>0</v>
      </c>
      <c r="B10" s="1" t="s">
        <v>7</v>
      </c>
      <c r="C10">
        <v>50</v>
      </c>
      <c r="D10">
        <v>300</v>
      </c>
      <c r="G10" t="b">
        <v>1</v>
      </c>
    </row>
    <row r="11" spans="1:7" x14ac:dyDescent="0.3">
      <c r="A11">
        <v>0</v>
      </c>
      <c r="B11" s="1" t="s">
        <v>8</v>
      </c>
      <c r="C11">
        <v>50</v>
      </c>
      <c r="D11">
        <v>300</v>
      </c>
      <c r="E11">
        <v>1.2973800010513514E-2</v>
      </c>
      <c r="F11">
        <v>0</v>
      </c>
      <c r="G11" t="b">
        <v>0</v>
      </c>
    </row>
    <row r="12" spans="1:7" x14ac:dyDescent="0.3">
      <c r="A12">
        <v>0</v>
      </c>
      <c r="B12" s="1" t="s">
        <v>9</v>
      </c>
      <c r="C12">
        <v>50</v>
      </c>
      <c r="D12">
        <v>300</v>
      </c>
      <c r="E12">
        <v>4.771999956574291E-4</v>
      </c>
      <c r="F12">
        <v>0</v>
      </c>
      <c r="G12" t="b">
        <v>0</v>
      </c>
    </row>
    <row r="13" spans="1:7" x14ac:dyDescent="0.3">
      <c r="A13">
        <v>0</v>
      </c>
      <c r="B13" s="1" t="s">
        <v>10</v>
      </c>
      <c r="C13">
        <v>50</v>
      </c>
      <c r="D13">
        <v>300</v>
      </c>
      <c r="E13">
        <v>5.559999990509823E-4</v>
      </c>
      <c r="F13">
        <v>0</v>
      </c>
      <c r="G13" t="b">
        <v>0</v>
      </c>
    </row>
    <row r="14" spans="1:7" x14ac:dyDescent="0.3">
      <c r="A14">
        <v>0</v>
      </c>
      <c r="B14" s="1" t="s">
        <v>7</v>
      </c>
      <c r="C14">
        <v>100</v>
      </c>
      <c r="D14">
        <v>300</v>
      </c>
      <c r="E14">
        <v>9.6100004157051444E-5</v>
      </c>
      <c r="F14">
        <v>0</v>
      </c>
      <c r="G14" t="b">
        <v>0</v>
      </c>
    </row>
    <row r="15" spans="1:7" x14ac:dyDescent="0.3">
      <c r="A15">
        <v>0</v>
      </c>
      <c r="B15" s="1" t="s">
        <v>8</v>
      </c>
      <c r="C15">
        <v>100</v>
      </c>
      <c r="D15">
        <v>300</v>
      </c>
      <c r="E15">
        <v>0.25710560000152327</v>
      </c>
      <c r="F15">
        <v>0</v>
      </c>
      <c r="G15" t="b">
        <v>0</v>
      </c>
    </row>
    <row r="16" spans="1:7" x14ac:dyDescent="0.3">
      <c r="A16">
        <v>0</v>
      </c>
      <c r="B16" s="1" t="s">
        <v>9</v>
      </c>
      <c r="C16">
        <v>100</v>
      </c>
      <c r="D16">
        <v>300</v>
      </c>
      <c r="E16">
        <v>2.4922000011429191E-3</v>
      </c>
      <c r="F16">
        <v>0</v>
      </c>
      <c r="G16" t="b">
        <v>0</v>
      </c>
    </row>
    <row r="17" spans="1:7" x14ac:dyDescent="0.3">
      <c r="A17">
        <v>0</v>
      </c>
      <c r="B17" s="1" t="s">
        <v>10</v>
      </c>
      <c r="C17">
        <v>100</v>
      </c>
      <c r="D17">
        <v>300</v>
      </c>
      <c r="E17">
        <v>2.3406999971484765E-3</v>
      </c>
      <c r="F17">
        <v>0</v>
      </c>
      <c r="G17" t="b">
        <v>0</v>
      </c>
    </row>
    <row r="18" spans="1:7" x14ac:dyDescent="0.3">
      <c r="A18">
        <v>0</v>
      </c>
      <c r="B18" s="1" t="s">
        <v>7</v>
      </c>
      <c r="C18">
        <v>200</v>
      </c>
      <c r="D18">
        <v>300</v>
      </c>
      <c r="E18">
        <v>4.8529999912716448E-4</v>
      </c>
      <c r="F18">
        <v>0</v>
      </c>
      <c r="G18" t="b">
        <v>0</v>
      </c>
    </row>
    <row r="19" spans="1:7" x14ac:dyDescent="0.3">
      <c r="A19">
        <v>0</v>
      </c>
      <c r="B19" s="1" t="s">
        <v>8</v>
      </c>
      <c r="C19">
        <v>200</v>
      </c>
      <c r="D19">
        <v>300</v>
      </c>
      <c r="G19" t="b">
        <v>1</v>
      </c>
    </row>
    <row r="20" spans="1:7" x14ac:dyDescent="0.3">
      <c r="A20">
        <v>0</v>
      </c>
      <c r="B20" s="1" t="s">
        <v>9</v>
      </c>
      <c r="C20">
        <v>200</v>
      </c>
      <c r="D20">
        <v>300</v>
      </c>
      <c r="E20">
        <v>9.6612999914214015E-3</v>
      </c>
      <c r="F20">
        <v>0</v>
      </c>
      <c r="G20" t="b">
        <v>0</v>
      </c>
    </row>
    <row r="21" spans="1:7" x14ac:dyDescent="0.3">
      <c r="A21">
        <v>0</v>
      </c>
      <c r="B21" s="1" t="s">
        <v>10</v>
      </c>
      <c r="C21">
        <v>200</v>
      </c>
      <c r="D21">
        <v>300</v>
      </c>
      <c r="E21">
        <v>6.6784000082407147E-3</v>
      </c>
      <c r="F21">
        <v>0</v>
      </c>
      <c r="G21" t="b">
        <v>0</v>
      </c>
    </row>
    <row r="22" spans="1:7" x14ac:dyDescent="0.3">
      <c r="A22">
        <v>0</v>
      </c>
      <c r="B22" s="1" t="s">
        <v>7</v>
      </c>
      <c r="C22">
        <v>400</v>
      </c>
      <c r="D22">
        <v>300</v>
      </c>
      <c r="E22">
        <v>2.5939999613910913E-4</v>
      </c>
      <c r="F22">
        <v>0</v>
      </c>
      <c r="G22" t="b">
        <v>0</v>
      </c>
    </row>
    <row r="23" spans="1:7" x14ac:dyDescent="0.3">
      <c r="A23">
        <v>0</v>
      </c>
      <c r="B23" s="1" t="s">
        <v>8</v>
      </c>
      <c r="C23">
        <v>400</v>
      </c>
      <c r="D23">
        <v>300</v>
      </c>
      <c r="G23" t="b">
        <v>1</v>
      </c>
    </row>
    <row r="24" spans="1:7" x14ac:dyDescent="0.3">
      <c r="A24">
        <v>0</v>
      </c>
      <c r="B24" s="1" t="s">
        <v>9</v>
      </c>
      <c r="C24">
        <v>400</v>
      </c>
      <c r="D24">
        <v>300</v>
      </c>
      <c r="E24">
        <v>1.7122500008554198E-2</v>
      </c>
      <c r="F24">
        <v>0</v>
      </c>
      <c r="G24" t="b">
        <v>0</v>
      </c>
    </row>
    <row r="25" spans="1:7" x14ac:dyDescent="0.3">
      <c r="A25">
        <v>0</v>
      </c>
      <c r="B25" s="1" t="s">
        <v>10</v>
      </c>
      <c r="C25">
        <v>400</v>
      </c>
      <c r="D25">
        <v>300</v>
      </c>
      <c r="E25">
        <v>1.2106300011510029E-2</v>
      </c>
      <c r="F25">
        <v>0</v>
      </c>
      <c r="G25" t="b">
        <v>0</v>
      </c>
    </row>
    <row r="26" spans="1:7" x14ac:dyDescent="0.3">
      <c r="A26">
        <v>0</v>
      </c>
      <c r="B26" s="1" t="s">
        <v>7</v>
      </c>
      <c r="C26">
        <v>10</v>
      </c>
      <c r="D26">
        <v>600</v>
      </c>
      <c r="G26" t="b">
        <v>1</v>
      </c>
    </row>
    <row r="27" spans="1:7" x14ac:dyDescent="0.3">
      <c r="A27">
        <v>0</v>
      </c>
      <c r="B27" s="1" t="s">
        <v>8</v>
      </c>
      <c r="C27">
        <v>10</v>
      </c>
      <c r="D27">
        <v>600</v>
      </c>
      <c r="E27">
        <v>1.9179999071639031E-4</v>
      </c>
      <c r="F27">
        <v>1</v>
      </c>
      <c r="G27" t="b">
        <v>0</v>
      </c>
    </row>
    <row r="28" spans="1:7" x14ac:dyDescent="0.3">
      <c r="A28">
        <v>0</v>
      </c>
      <c r="B28" s="1" t="s">
        <v>9</v>
      </c>
      <c r="C28">
        <v>10</v>
      </c>
      <c r="D28">
        <v>600</v>
      </c>
      <c r="E28">
        <v>1.0379999002907425E-4</v>
      </c>
      <c r="F28">
        <v>1</v>
      </c>
      <c r="G28" t="b">
        <v>0</v>
      </c>
    </row>
    <row r="29" spans="1:7" x14ac:dyDescent="0.3">
      <c r="A29">
        <v>0</v>
      </c>
      <c r="B29" s="1" t="s">
        <v>10</v>
      </c>
      <c r="C29">
        <v>10</v>
      </c>
      <c r="D29">
        <v>600</v>
      </c>
      <c r="E29">
        <v>9.8699994850903749E-5</v>
      </c>
      <c r="F29">
        <v>1</v>
      </c>
      <c r="G29" t="b">
        <v>0</v>
      </c>
    </row>
    <row r="30" spans="1:7" x14ac:dyDescent="0.3">
      <c r="A30">
        <v>0</v>
      </c>
      <c r="B30" s="1" t="s">
        <v>7</v>
      </c>
      <c r="C30">
        <v>30</v>
      </c>
      <c r="D30">
        <v>600</v>
      </c>
      <c r="G30" t="b">
        <v>1</v>
      </c>
    </row>
    <row r="31" spans="1:7" x14ac:dyDescent="0.3">
      <c r="A31">
        <v>0</v>
      </c>
      <c r="B31" s="1" t="s">
        <v>8</v>
      </c>
      <c r="C31">
        <v>30</v>
      </c>
      <c r="D31">
        <v>600</v>
      </c>
      <c r="E31">
        <v>0.20129249998717569</v>
      </c>
      <c r="F31">
        <v>0</v>
      </c>
      <c r="G31" t="b">
        <v>0</v>
      </c>
    </row>
    <row r="32" spans="1:7" x14ac:dyDescent="0.3">
      <c r="A32">
        <v>0</v>
      </c>
      <c r="B32" s="1" t="s">
        <v>9</v>
      </c>
      <c r="C32">
        <v>30</v>
      </c>
      <c r="D32">
        <v>600</v>
      </c>
      <c r="E32">
        <v>3.2197999971685931E-3</v>
      </c>
      <c r="F32">
        <v>0</v>
      </c>
      <c r="G32" t="b">
        <v>0</v>
      </c>
    </row>
    <row r="33" spans="1:7" x14ac:dyDescent="0.3">
      <c r="A33">
        <v>0</v>
      </c>
      <c r="B33" s="1" t="s">
        <v>10</v>
      </c>
      <c r="C33">
        <v>30</v>
      </c>
      <c r="D33">
        <v>600</v>
      </c>
      <c r="E33">
        <v>1.1334000009810552E-3</v>
      </c>
      <c r="F33">
        <v>0</v>
      </c>
      <c r="G33" t="b">
        <v>0</v>
      </c>
    </row>
    <row r="34" spans="1:7" x14ac:dyDescent="0.3">
      <c r="A34">
        <v>0</v>
      </c>
      <c r="B34" s="1" t="s">
        <v>7</v>
      </c>
      <c r="C34">
        <v>50</v>
      </c>
      <c r="D34">
        <v>600</v>
      </c>
      <c r="E34">
        <v>1.3280999992275611E-3</v>
      </c>
      <c r="F34">
        <v>0</v>
      </c>
      <c r="G34" t="b">
        <v>0</v>
      </c>
    </row>
    <row r="35" spans="1:7" x14ac:dyDescent="0.3">
      <c r="A35">
        <v>0</v>
      </c>
      <c r="B35" s="1" t="s">
        <v>8</v>
      </c>
      <c r="C35">
        <v>50</v>
      </c>
      <c r="D35">
        <v>600</v>
      </c>
      <c r="E35">
        <v>2.0185900999931619</v>
      </c>
      <c r="F35">
        <v>0</v>
      </c>
      <c r="G35" t="b">
        <v>0</v>
      </c>
    </row>
    <row r="36" spans="1:7" x14ac:dyDescent="0.3">
      <c r="A36">
        <v>0</v>
      </c>
      <c r="B36" s="1" t="s">
        <v>9</v>
      </c>
      <c r="C36">
        <v>50</v>
      </c>
      <c r="D36">
        <v>600</v>
      </c>
      <c r="E36">
        <v>4.7538999933749437E-3</v>
      </c>
      <c r="F36">
        <v>0</v>
      </c>
      <c r="G36" t="b">
        <v>0</v>
      </c>
    </row>
    <row r="37" spans="1:7" x14ac:dyDescent="0.3">
      <c r="A37">
        <v>0</v>
      </c>
      <c r="B37" s="1" t="s">
        <v>10</v>
      </c>
      <c r="C37">
        <v>50</v>
      </c>
      <c r="D37">
        <v>600</v>
      </c>
      <c r="E37">
        <v>2.0919999951729551E-3</v>
      </c>
      <c r="F37">
        <v>0</v>
      </c>
      <c r="G37" t="b">
        <v>0</v>
      </c>
    </row>
    <row r="38" spans="1:7" x14ac:dyDescent="0.3">
      <c r="A38">
        <v>0</v>
      </c>
      <c r="B38" s="1" t="s">
        <v>7</v>
      </c>
      <c r="C38">
        <v>100</v>
      </c>
      <c r="D38">
        <v>600</v>
      </c>
      <c r="E38">
        <v>3.6469999758992344E-4</v>
      </c>
      <c r="F38">
        <v>0</v>
      </c>
      <c r="G38" t="b">
        <v>0</v>
      </c>
    </row>
    <row r="39" spans="1:7" x14ac:dyDescent="0.3">
      <c r="A39">
        <v>0</v>
      </c>
      <c r="B39" s="1" t="s">
        <v>8</v>
      </c>
      <c r="C39">
        <v>100</v>
      </c>
      <c r="D39">
        <v>600</v>
      </c>
      <c r="G39" t="b">
        <v>1</v>
      </c>
    </row>
    <row r="40" spans="1:7" x14ac:dyDescent="0.3">
      <c r="A40">
        <v>0</v>
      </c>
      <c r="B40" s="1" t="s">
        <v>9</v>
      </c>
      <c r="C40">
        <v>100</v>
      </c>
      <c r="D40">
        <v>600</v>
      </c>
      <c r="E40">
        <v>1.1299200006760657E-2</v>
      </c>
      <c r="F40">
        <v>0</v>
      </c>
      <c r="G40" t="b">
        <v>0</v>
      </c>
    </row>
    <row r="41" spans="1:7" x14ac:dyDescent="0.3">
      <c r="A41">
        <v>0</v>
      </c>
      <c r="B41" s="1" t="s">
        <v>10</v>
      </c>
      <c r="C41">
        <v>100</v>
      </c>
      <c r="D41">
        <v>600</v>
      </c>
      <c r="E41">
        <v>5.5071999959181994E-3</v>
      </c>
      <c r="F41">
        <v>0</v>
      </c>
      <c r="G41" t="b">
        <v>0</v>
      </c>
    </row>
    <row r="42" spans="1:7" x14ac:dyDescent="0.3">
      <c r="A42">
        <v>0</v>
      </c>
      <c r="B42" s="1" t="s">
        <v>7</v>
      </c>
      <c r="C42">
        <v>200</v>
      </c>
      <c r="D42">
        <v>600</v>
      </c>
      <c r="E42">
        <v>2.0640000002458692E-4</v>
      </c>
      <c r="F42">
        <v>0</v>
      </c>
      <c r="G42" t="b">
        <v>0</v>
      </c>
    </row>
    <row r="43" spans="1:7" x14ac:dyDescent="0.3">
      <c r="A43">
        <v>0</v>
      </c>
      <c r="B43" s="1" t="s">
        <v>8</v>
      </c>
      <c r="C43">
        <v>200</v>
      </c>
      <c r="D43">
        <v>600</v>
      </c>
      <c r="G43" t="b">
        <v>1</v>
      </c>
    </row>
    <row r="44" spans="1:7" x14ac:dyDescent="0.3">
      <c r="A44">
        <v>0</v>
      </c>
      <c r="B44" s="1" t="s">
        <v>9</v>
      </c>
      <c r="C44">
        <v>200</v>
      </c>
      <c r="D44">
        <v>600</v>
      </c>
      <c r="E44">
        <v>2.7826899997307919E-2</v>
      </c>
      <c r="F44">
        <v>0</v>
      </c>
      <c r="G44" t="b">
        <v>0</v>
      </c>
    </row>
    <row r="45" spans="1:7" x14ac:dyDescent="0.3">
      <c r="A45">
        <v>0</v>
      </c>
      <c r="B45" s="1" t="s">
        <v>10</v>
      </c>
      <c r="C45">
        <v>200</v>
      </c>
      <c r="D45">
        <v>600</v>
      </c>
      <c r="E45">
        <v>1.0919899999862537E-2</v>
      </c>
      <c r="F45">
        <v>0</v>
      </c>
      <c r="G45" t="b">
        <v>0</v>
      </c>
    </row>
    <row r="46" spans="1:7" x14ac:dyDescent="0.3">
      <c r="A46">
        <v>0</v>
      </c>
      <c r="B46" s="1" t="s">
        <v>7</v>
      </c>
      <c r="C46">
        <v>400</v>
      </c>
      <c r="D46">
        <v>600</v>
      </c>
      <c r="E46">
        <v>2.1340000093914568E-3</v>
      </c>
      <c r="F46">
        <v>0</v>
      </c>
      <c r="G46" t="b">
        <v>0</v>
      </c>
    </row>
    <row r="47" spans="1:7" x14ac:dyDescent="0.3">
      <c r="A47">
        <v>0</v>
      </c>
      <c r="B47" s="1" t="s">
        <v>8</v>
      </c>
      <c r="C47">
        <v>400</v>
      </c>
      <c r="D47">
        <v>600</v>
      </c>
      <c r="G47" t="b">
        <v>1</v>
      </c>
    </row>
    <row r="48" spans="1:7" x14ac:dyDescent="0.3">
      <c r="A48">
        <v>0</v>
      </c>
      <c r="B48" s="1" t="s">
        <v>9</v>
      </c>
      <c r="C48">
        <v>400</v>
      </c>
      <c r="D48">
        <v>600</v>
      </c>
      <c r="E48">
        <v>6.2369300008867867E-2</v>
      </c>
      <c r="F48">
        <v>0</v>
      </c>
      <c r="G48" t="b">
        <v>0</v>
      </c>
    </row>
    <row r="49" spans="1:7" x14ac:dyDescent="0.3">
      <c r="A49">
        <v>0</v>
      </c>
      <c r="B49" s="1" t="s">
        <v>10</v>
      </c>
      <c r="C49">
        <v>400</v>
      </c>
      <c r="D49">
        <v>600</v>
      </c>
      <c r="E49">
        <v>2.6031299988972023E-2</v>
      </c>
      <c r="F49">
        <v>0</v>
      </c>
      <c r="G49" t="b">
        <v>0</v>
      </c>
    </row>
    <row r="50" spans="1:7" x14ac:dyDescent="0.3">
      <c r="A50">
        <v>0</v>
      </c>
      <c r="B50" s="1" t="s">
        <v>7</v>
      </c>
      <c r="C50">
        <v>10</v>
      </c>
      <c r="D50">
        <v>1200</v>
      </c>
      <c r="G50" t="b">
        <v>1</v>
      </c>
    </row>
    <row r="51" spans="1:7" x14ac:dyDescent="0.3">
      <c r="A51">
        <v>0</v>
      </c>
      <c r="B51" s="1" t="s">
        <v>8</v>
      </c>
      <c r="C51">
        <v>10</v>
      </c>
      <c r="D51">
        <v>1200</v>
      </c>
      <c r="E51">
        <v>3.7680000241380185E-4</v>
      </c>
      <c r="F51">
        <v>0</v>
      </c>
      <c r="G51" t="b">
        <v>0</v>
      </c>
    </row>
    <row r="52" spans="1:7" x14ac:dyDescent="0.3">
      <c r="A52">
        <v>0</v>
      </c>
      <c r="B52" s="1" t="s">
        <v>9</v>
      </c>
      <c r="C52">
        <v>10</v>
      </c>
      <c r="D52">
        <v>1200</v>
      </c>
      <c r="E52">
        <v>4.4740000157617033E-4</v>
      </c>
      <c r="F52">
        <v>0</v>
      </c>
      <c r="G52" t="b">
        <v>0</v>
      </c>
    </row>
    <row r="53" spans="1:7" x14ac:dyDescent="0.3">
      <c r="A53">
        <v>0</v>
      </c>
      <c r="B53" s="1" t="s">
        <v>10</v>
      </c>
      <c r="C53">
        <v>10</v>
      </c>
      <c r="D53">
        <v>1200</v>
      </c>
      <c r="E53">
        <v>2.6000000070780516E-4</v>
      </c>
      <c r="F53">
        <v>0</v>
      </c>
      <c r="G53" t="b">
        <v>0</v>
      </c>
    </row>
    <row r="54" spans="1:7" x14ac:dyDescent="0.3">
      <c r="A54">
        <v>0</v>
      </c>
      <c r="B54" s="1" t="s">
        <v>7</v>
      </c>
      <c r="C54">
        <v>30</v>
      </c>
      <c r="D54">
        <v>1200</v>
      </c>
      <c r="E54">
        <v>1.4994999946793541E-3</v>
      </c>
      <c r="F54">
        <v>0</v>
      </c>
      <c r="G54" t="b">
        <v>0</v>
      </c>
    </row>
    <row r="55" spans="1:7" x14ac:dyDescent="0.3">
      <c r="A55">
        <v>0</v>
      </c>
      <c r="B55" s="1" t="s">
        <v>8</v>
      </c>
      <c r="C55">
        <v>30</v>
      </c>
      <c r="D55">
        <v>1200</v>
      </c>
      <c r="E55">
        <v>1.1999932000035187</v>
      </c>
      <c r="F55">
        <v>0</v>
      </c>
      <c r="G55" t="b">
        <v>0</v>
      </c>
    </row>
    <row r="56" spans="1:7" x14ac:dyDescent="0.3">
      <c r="A56">
        <v>0</v>
      </c>
      <c r="B56" s="1" t="s">
        <v>9</v>
      </c>
      <c r="C56">
        <v>30</v>
      </c>
      <c r="D56">
        <v>1200</v>
      </c>
      <c r="E56">
        <v>6.1296999920159578E-3</v>
      </c>
      <c r="F56">
        <v>0</v>
      </c>
      <c r="G56" t="b">
        <v>0</v>
      </c>
    </row>
    <row r="57" spans="1:7" x14ac:dyDescent="0.3">
      <c r="A57">
        <v>0</v>
      </c>
      <c r="B57" s="1" t="s">
        <v>10</v>
      </c>
      <c r="C57">
        <v>30</v>
      </c>
      <c r="D57">
        <v>1200</v>
      </c>
      <c r="E57">
        <v>3.1424999906448647E-3</v>
      </c>
      <c r="F57">
        <v>0</v>
      </c>
      <c r="G57" t="b">
        <v>0</v>
      </c>
    </row>
    <row r="58" spans="1:7" x14ac:dyDescent="0.3">
      <c r="A58">
        <v>0</v>
      </c>
      <c r="B58" s="1" t="s">
        <v>7</v>
      </c>
      <c r="C58">
        <v>50</v>
      </c>
      <c r="D58">
        <v>1200</v>
      </c>
      <c r="E58">
        <v>1.8509999790694565E-4</v>
      </c>
      <c r="F58">
        <v>0</v>
      </c>
      <c r="G58" t="b">
        <v>0</v>
      </c>
    </row>
    <row r="59" spans="1:7" x14ac:dyDescent="0.3">
      <c r="A59">
        <v>0</v>
      </c>
      <c r="B59" s="1" t="s">
        <v>8</v>
      </c>
      <c r="C59">
        <v>50</v>
      </c>
      <c r="D59">
        <v>1200</v>
      </c>
      <c r="G59" t="b">
        <v>1</v>
      </c>
    </row>
    <row r="60" spans="1:7" x14ac:dyDescent="0.3">
      <c r="A60">
        <v>0</v>
      </c>
      <c r="B60" s="1" t="s">
        <v>9</v>
      </c>
      <c r="C60">
        <v>50</v>
      </c>
      <c r="D60">
        <v>1200</v>
      </c>
      <c r="E60">
        <v>1.3782599999103695E-2</v>
      </c>
      <c r="F60">
        <v>0</v>
      </c>
      <c r="G60" t="b">
        <v>0</v>
      </c>
    </row>
    <row r="61" spans="1:7" x14ac:dyDescent="0.3">
      <c r="A61">
        <v>0</v>
      </c>
      <c r="B61" s="1" t="s">
        <v>10</v>
      </c>
      <c r="C61">
        <v>50</v>
      </c>
      <c r="D61">
        <v>1200</v>
      </c>
      <c r="E61">
        <v>5.0836000009439886E-3</v>
      </c>
      <c r="F61">
        <v>0</v>
      </c>
      <c r="G61" t="b">
        <v>0</v>
      </c>
    </row>
    <row r="62" spans="1:7" x14ac:dyDescent="0.3">
      <c r="A62">
        <v>0</v>
      </c>
      <c r="B62" s="1" t="s">
        <v>7</v>
      </c>
      <c r="C62">
        <v>100</v>
      </c>
      <c r="D62">
        <v>1200</v>
      </c>
      <c r="E62">
        <v>1.4424999972106889E-3</v>
      </c>
      <c r="F62">
        <v>0</v>
      </c>
      <c r="G62" t="b">
        <v>0</v>
      </c>
    </row>
    <row r="63" spans="1:7" x14ac:dyDescent="0.3">
      <c r="A63">
        <v>0</v>
      </c>
      <c r="B63" s="1" t="s">
        <v>8</v>
      </c>
      <c r="C63">
        <v>100</v>
      </c>
      <c r="D63">
        <v>1200</v>
      </c>
      <c r="G63" t="b">
        <v>1</v>
      </c>
    </row>
    <row r="64" spans="1:7" x14ac:dyDescent="0.3">
      <c r="A64">
        <v>0</v>
      </c>
      <c r="B64" s="1" t="s">
        <v>9</v>
      </c>
      <c r="C64">
        <v>100</v>
      </c>
      <c r="D64">
        <v>1200</v>
      </c>
      <c r="E64">
        <v>3.3378899999661371E-2</v>
      </c>
      <c r="F64">
        <v>0</v>
      </c>
      <c r="G64" t="b">
        <v>0</v>
      </c>
    </row>
    <row r="65" spans="1:7" x14ac:dyDescent="0.3">
      <c r="A65">
        <v>0</v>
      </c>
      <c r="B65" s="1" t="s">
        <v>10</v>
      </c>
      <c r="C65">
        <v>100</v>
      </c>
      <c r="D65">
        <v>1200</v>
      </c>
      <c r="E65">
        <v>1.4605000003939494E-2</v>
      </c>
      <c r="F65">
        <v>0</v>
      </c>
      <c r="G65" t="b">
        <v>0</v>
      </c>
    </row>
    <row r="66" spans="1:7" x14ac:dyDescent="0.3">
      <c r="A66">
        <v>0</v>
      </c>
      <c r="B66" s="1" t="s">
        <v>7</v>
      </c>
      <c r="C66">
        <v>200</v>
      </c>
      <c r="D66">
        <v>1200</v>
      </c>
      <c r="E66">
        <v>1.0017000022344291E-3</v>
      </c>
      <c r="F66">
        <v>0</v>
      </c>
      <c r="G66" t="b">
        <v>0</v>
      </c>
    </row>
    <row r="67" spans="1:7" x14ac:dyDescent="0.3">
      <c r="A67">
        <v>0</v>
      </c>
      <c r="B67" s="1" t="s">
        <v>8</v>
      </c>
      <c r="C67">
        <v>200</v>
      </c>
      <c r="D67">
        <v>1200</v>
      </c>
      <c r="G67" t="b">
        <v>1</v>
      </c>
    </row>
    <row r="68" spans="1:7" x14ac:dyDescent="0.3">
      <c r="A68">
        <v>0</v>
      </c>
      <c r="B68" s="1" t="s">
        <v>9</v>
      </c>
      <c r="C68">
        <v>200</v>
      </c>
      <c r="D68">
        <v>1200</v>
      </c>
      <c r="E68">
        <v>8.4214999995310791E-2</v>
      </c>
      <c r="F68">
        <v>0</v>
      </c>
      <c r="G68" t="b">
        <v>0</v>
      </c>
    </row>
    <row r="69" spans="1:7" x14ac:dyDescent="0.3">
      <c r="A69">
        <v>0</v>
      </c>
      <c r="B69" s="1" t="s">
        <v>10</v>
      </c>
      <c r="C69">
        <v>200</v>
      </c>
      <c r="D69">
        <v>1200</v>
      </c>
      <c r="E69">
        <v>2.9762099991785362E-2</v>
      </c>
      <c r="F69">
        <v>0</v>
      </c>
      <c r="G69" t="b">
        <v>0</v>
      </c>
    </row>
    <row r="70" spans="1:7" x14ac:dyDescent="0.3">
      <c r="A70">
        <v>0</v>
      </c>
      <c r="B70" s="1" t="s">
        <v>7</v>
      </c>
      <c r="C70">
        <v>400</v>
      </c>
      <c r="D70">
        <v>1200</v>
      </c>
      <c r="E70">
        <v>1.9614999910118058E-3</v>
      </c>
      <c r="F70">
        <v>0</v>
      </c>
      <c r="G70" t="b">
        <v>0</v>
      </c>
    </row>
    <row r="71" spans="1:7" x14ac:dyDescent="0.3">
      <c r="A71">
        <v>0</v>
      </c>
      <c r="B71" s="1" t="s">
        <v>8</v>
      </c>
      <c r="C71">
        <v>400</v>
      </c>
      <c r="D71">
        <v>1200</v>
      </c>
      <c r="G71" t="b">
        <v>1</v>
      </c>
    </row>
    <row r="72" spans="1:7" x14ac:dyDescent="0.3">
      <c r="A72">
        <v>0</v>
      </c>
      <c r="B72" s="1" t="s">
        <v>9</v>
      </c>
      <c r="C72">
        <v>400</v>
      </c>
      <c r="D72">
        <v>1200</v>
      </c>
      <c r="E72">
        <v>0.23392520000925288</v>
      </c>
      <c r="F72">
        <v>0</v>
      </c>
      <c r="G72" t="b">
        <v>0</v>
      </c>
    </row>
    <row r="73" spans="1:7" x14ac:dyDescent="0.3">
      <c r="A73">
        <v>0</v>
      </c>
      <c r="B73" s="1" t="s">
        <v>10</v>
      </c>
      <c r="C73">
        <v>400</v>
      </c>
      <c r="D73">
        <v>1200</v>
      </c>
      <c r="E73">
        <v>6.746930000372231E-2</v>
      </c>
      <c r="F73">
        <v>0</v>
      </c>
      <c r="G73" t="b">
        <v>0</v>
      </c>
    </row>
    <row r="74" spans="1:7" x14ac:dyDescent="0.3">
      <c r="A74">
        <v>0</v>
      </c>
      <c r="B74" s="1" t="s">
        <v>7</v>
      </c>
      <c r="C74">
        <v>10</v>
      </c>
      <c r="D74">
        <v>3600</v>
      </c>
      <c r="E74">
        <v>2.1200001356191933E-5</v>
      </c>
      <c r="F74">
        <v>1176</v>
      </c>
      <c r="G74" t="b">
        <v>0</v>
      </c>
    </row>
    <row r="75" spans="1:7" x14ac:dyDescent="0.3">
      <c r="A75">
        <v>0</v>
      </c>
      <c r="B75" s="1" t="s">
        <v>8</v>
      </c>
      <c r="C75">
        <v>10</v>
      </c>
      <c r="D75">
        <v>3600</v>
      </c>
      <c r="E75">
        <v>6.0720001056324691E-4</v>
      </c>
      <c r="F75">
        <v>1176</v>
      </c>
      <c r="G75" t="b">
        <v>0</v>
      </c>
    </row>
    <row r="76" spans="1:7" x14ac:dyDescent="0.3">
      <c r="A76">
        <v>0</v>
      </c>
      <c r="B76" s="1" t="s">
        <v>9</v>
      </c>
      <c r="C76">
        <v>10</v>
      </c>
      <c r="D76">
        <v>3600</v>
      </c>
      <c r="E76">
        <v>7.9790000745560974E-4</v>
      </c>
      <c r="F76">
        <v>1177</v>
      </c>
      <c r="G76" t="b">
        <v>0</v>
      </c>
    </row>
    <row r="77" spans="1:7" x14ac:dyDescent="0.3">
      <c r="A77">
        <v>0</v>
      </c>
      <c r="B77" s="1" t="s">
        <v>10</v>
      </c>
      <c r="C77">
        <v>10</v>
      </c>
      <c r="D77">
        <v>3600</v>
      </c>
      <c r="E77">
        <v>4.169999883743003E-4</v>
      </c>
      <c r="F77">
        <v>1177</v>
      </c>
      <c r="G77" t="b">
        <v>0</v>
      </c>
    </row>
    <row r="78" spans="1:7" x14ac:dyDescent="0.3">
      <c r="A78">
        <v>0</v>
      </c>
      <c r="B78" s="1" t="s">
        <v>7</v>
      </c>
      <c r="C78">
        <v>30</v>
      </c>
      <c r="D78">
        <v>3600</v>
      </c>
      <c r="E78">
        <v>4.2169999505858868E-4</v>
      </c>
      <c r="F78">
        <v>0</v>
      </c>
      <c r="G78" t="b">
        <v>0</v>
      </c>
    </row>
    <row r="79" spans="1:7" x14ac:dyDescent="0.3">
      <c r="A79">
        <v>0</v>
      </c>
      <c r="B79" s="1" t="s">
        <v>8</v>
      </c>
      <c r="C79">
        <v>30</v>
      </c>
      <c r="D79">
        <v>3600</v>
      </c>
      <c r="G79" t="b">
        <v>1</v>
      </c>
    </row>
    <row r="80" spans="1:7" x14ac:dyDescent="0.3">
      <c r="A80">
        <v>0</v>
      </c>
      <c r="B80" s="1" t="s">
        <v>9</v>
      </c>
      <c r="C80">
        <v>30</v>
      </c>
      <c r="D80">
        <v>3600</v>
      </c>
      <c r="E80">
        <v>3.084110000054352E-2</v>
      </c>
      <c r="F80">
        <v>0</v>
      </c>
      <c r="G80" t="b">
        <v>0</v>
      </c>
    </row>
    <row r="81" spans="1:7" x14ac:dyDescent="0.3">
      <c r="A81">
        <v>0</v>
      </c>
      <c r="B81" s="1" t="s">
        <v>10</v>
      </c>
      <c r="C81">
        <v>30</v>
      </c>
      <c r="D81">
        <v>3600</v>
      </c>
      <c r="E81">
        <v>1.1110299994470552E-2</v>
      </c>
      <c r="F81">
        <v>0</v>
      </c>
      <c r="G81" t="b">
        <v>0</v>
      </c>
    </row>
    <row r="82" spans="1:7" x14ac:dyDescent="0.3">
      <c r="A82">
        <v>0</v>
      </c>
      <c r="B82" s="1" t="s">
        <v>7</v>
      </c>
      <c r="C82">
        <v>50</v>
      </c>
      <c r="D82">
        <v>3600</v>
      </c>
      <c r="E82">
        <v>1.181399988126941E-3</v>
      </c>
      <c r="F82">
        <v>0</v>
      </c>
      <c r="G82" t="b">
        <v>0</v>
      </c>
    </row>
    <row r="83" spans="1:7" x14ac:dyDescent="0.3">
      <c r="A83">
        <v>0</v>
      </c>
      <c r="B83" s="1" t="s">
        <v>8</v>
      </c>
      <c r="C83">
        <v>50</v>
      </c>
      <c r="D83">
        <v>3600</v>
      </c>
      <c r="G83" t="b">
        <v>1</v>
      </c>
    </row>
    <row r="84" spans="1:7" x14ac:dyDescent="0.3">
      <c r="A84">
        <v>0</v>
      </c>
      <c r="B84" s="1" t="s">
        <v>9</v>
      </c>
      <c r="C84">
        <v>50</v>
      </c>
      <c r="D84">
        <v>3600</v>
      </c>
      <c r="E84">
        <v>6.6107499995268881E-2</v>
      </c>
      <c r="F84">
        <v>0</v>
      </c>
      <c r="G84" t="b">
        <v>0</v>
      </c>
    </row>
    <row r="85" spans="1:7" x14ac:dyDescent="0.3">
      <c r="A85">
        <v>0</v>
      </c>
      <c r="B85" s="1" t="s">
        <v>10</v>
      </c>
      <c r="C85">
        <v>50</v>
      </c>
      <c r="D85">
        <v>3600</v>
      </c>
      <c r="E85">
        <v>2.7393299998948351E-2</v>
      </c>
      <c r="F85">
        <v>0</v>
      </c>
      <c r="G85" t="b">
        <v>0</v>
      </c>
    </row>
    <row r="86" spans="1:7" x14ac:dyDescent="0.3">
      <c r="A86">
        <v>0</v>
      </c>
      <c r="B86" s="1" t="s">
        <v>7</v>
      </c>
      <c r="C86">
        <v>100</v>
      </c>
      <c r="D86">
        <v>3600</v>
      </c>
      <c r="E86">
        <v>7.0209999103099108E-4</v>
      </c>
      <c r="F86">
        <v>0</v>
      </c>
      <c r="G86" t="b">
        <v>0</v>
      </c>
    </row>
    <row r="87" spans="1:7" x14ac:dyDescent="0.3">
      <c r="A87">
        <v>0</v>
      </c>
      <c r="B87" s="1" t="s">
        <v>8</v>
      </c>
      <c r="C87">
        <v>100</v>
      </c>
      <c r="D87">
        <v>3600</v>
      </c>
      <c r="G87" t="b">
        <v>1</v>
      </c>
    </row>
    <row r="88" spans="1:7" x14ac:dyDescent="0.3">
      <c r="A88">
        <v>0</v>
      </c>
      <c r="B88" s="1" t="s">
        <v>9</v>
      </c>
      <c r="C88">
        <v>100</v>
      </c>
      <c r="D88">
        <v>3600</v>
      </c>
      <c r="E88">
        <v>0.20573719999811146</v>
      </c>
      <c r="F88">
        <v>0</v>
      </c>
      <c r="G88" t="b">
        <v>0</v>
      </c>
    </row>
    <row r="89" spans="1:7" x14ac:dyDescent="0.3">
      <c r="A89">
        <v>0</v>
      </c>
      <c r="B89" s="1" t="s">
        <v>10</v>
      </c>
      <c r="C89">
        <v>100</v>
      </c>
      <c r="D89">
        <v>3600</v>
      </c>
      <c r="E89">
        <v>7.4926000001141801E-2</v>
      </c>
      <c r="F89">
        <v>0</v>
      </c>
      <c r="G89" t="b">
        <v>0</v>
      </c>
    </row>
    <row r="90" spans="1:7" x14ac:dyDescent="0.3">
      <c r="A90">
        <v>0</v>
      </c>
      <c r="B90" s="1" t="s">
        <v>7</v>
      </c>
      <c r="C90">
        <v>200</v>
      </c>
      <c r="D90">
        <v>3600</v>
      </c>
      <c r="E90">
        <v>1.5469999925699085E-4</v>
      </c>
      <c r="F90">
        <v>0</v>
      </c>
      <c r="G90" t="b">
        <v>0</v>
      </c>
    </row>
    <row r="91" spans="1:7" x14ac:dyDescent="0.3">
      <c r="A91">
        <v>0</v>
      </c>
      <c r="B91" s="1" t="s">
        <v>8</v>
      </c>
      <c r="C91">
        <v>200</v>
      </c>
      <c r="D91">
        <v>3600</v>
      </c>
      <c r="G91" t="b">
        <v>1</v>
      </c>
    </row>
    <row r="92" spans="1:7" x14ac:dyDescent="0.3">
      <c r="A92">
        <v>0</v>
      </c>
      <c r="B92" s="1" t="s">
        <v>9</v>
      </c>
      <c r="C92">
        <v>200</v>
      </c>
      <c r="D92">
        <v>3600</v>
      </c>
      <c r="E92">
        <v>0.50039149999793153</v>
      </c>
      <c r="F92">
        <v>0</v>
      </c>
      <c r="G92" t="b">
        <v>0</v>
      </c>
    </row>
    <row r="93" spans="1:7" x14ac:dyDescent="0.3">
      <c r="A93">
        <v>0</v>
      </c>
      <c r="B93" s="1" t="s">
        <v>10</v>
      </c>
      <c r="C93">
        <v>200</v>
      </c>
      <c r="D93">
        <v>3600</v>
      </c>
      <c r="E93">
        <v>0.15194609999889508</v>
      </c>
      <c r="F93">
        <v>0</v>
      </c>
      <c r="G93" t="b">
        <v>0</v>
      </c>
    </row>
    <row r="94" spans="1:7" x14ac:dyDescent="0.3">
      <c r="A94">
        <v>0</v>
      </c>
      <c r="B94" s="1" t="s">
        <v>7</v>
      </c>
      <c r="C94">
        <v>400</v>
      </c>
      <c r="D94">
        <v>3600</v>
      </c>
      <c r="E94">
        <v>5.9029999829363078E-4</v>
      </c>
      <c r="F94">
        <v>0</v>
      </c>
      <c r="G94" t="b">
        <v>0</v>
      </c>
    </row>
    <row r="95" spans="1:7" x14ac:dyDescent="0.3">
      <c r="A95">
        <v>0</v>
      </c>
      <c r="B95" s="1" t="s">
        <v>8</v>
      </c>
      <c r="C95">
        <v>400</v>
      </c>
      <c r="D95">
        <v>3600</v>
      </c>
      <c r="G95" t="b">
        <v>1</v>
      </c>
    </row>
    <row r="96" spans="1:7" x14ac:dyDescent="0.3">
      <c r="A96">
        <v>0</v>
      </c>
      <c r="B96" s="1" t="s">
        <v>9</v>
      </c>
      <c r="C96">
        <v>400</v>
      </c>
      <c r="D96">
        <v>3600</v>
      </c>
      <c r="E96">
        <v>1.0115996999957133</v>
      </c>
      <c r="F96">
        <v>0</v>
      </c>
      <c r="G96" t="b">
        <v>0</v>
      </c>
    </row>
    <row r="97" spans="1:7" x14ac:dyDescent="0.3">
      <c r="A97">
        <v>0</v>
      </c>
      <c r="B97" s="1" t="s">
        <v>10</v>
      </c>
      <c r="C97">
        <v>400</v>
      </c>
      <c r="D97">
        <v>3600</v>
      </c>
      <c r="E97">
        <v>0.35843570000724867</v>
      </c>
      <c r="F97">
        <v>0</v>
      </c>
      <c r="G97" t="b">
        <v>0</v>
      </c>
    </row>
    <row r="98" spans="1:7" x14ac:dyDescent="0.3">
      <c r="A98">
        <v>0</v>
      </c>
      <c r="B98" s="1" t="s">
        <v>7</v>
      </c>
      <c r="C98">
        <v>10</v>
      </c>
      <c r="D98">
        <v>7200</v>
      </c>
      <c r="E98">
        <v>1.7900005332194269E-5</v>
      </c>
      <c r="F98">
        <v>4638</v>
      </c>
      <c r="G98" t="b">
        <v>0</v>
      </c>
    </row>
    <row r="99" spans="1:7" x14ac:dyDescent="0.3">
      <c r="A99">
        <v>0</v>
      </c>
      <c r="B99" s="1" t="s">
        <v>8</v>
      </c>
      <c r="C99">
        <v>10</v>
      </c>
      <c r="D99">
        <v>7200</v>
      </c>
      <c r="E99">
        <v>5.0989999726880342E-4</v>
      </c>
      <c r="F99">
        <v>4638</v>
      </c>
      <c r="G99" t="b">
        <v>0</v>
      </c>
    </row>
    <row r="100" spans="1:7" x14ac:dyDescent="0.3">
      <c r="A100">
        <v>0</v>
      </c>
      <c r="B100" s="1" t="s">
        <v>9</v>
      </c>
      <c r="C100">
        <v>10</v>
      </c>
      <c r="D100">
        <v>7200</v>
      </c>
      <c r="E100">
        <v>6.0870000743307173E-4</v>
      </c>
      <c r="F100">
        <v>4640</v>
      </c>
      <c r="G100" t="b">
        <v>0</v>
      </c>
    </row>
    <row r="101" spans="1:7" x14ac:dyDescent="0.3">
      <c r="A101">
        <v>0</v>
      </c>
      <c r="B101" s="1" t="s">
        <v>10</v>
      </c>
      <c r="C101">
        <v>10</v>
      </c>
      <c r="D101">
        <v>7200</v>
      </c>
      <c r="E101">
        <v>4.2039999971166253E-4</v>
      </c>
      <c r="F101">
        <v>4640</v>
      </c>
      <c r="G101" t="b">
        <v>0</v>
      </c>
    </row>
    <row r="102" spans="1:7" x14ac:dyDescent="0.3">
      <c r="A102">
        <v>0</v>
      </c>
      <c r="B102" s="1" t="s">
        <v>7</v>
      </c>
      <c r="C102">
        <v>30</v>
      </c>
      <c r="D102">
        <v>7200</v>
      </c>
      <c r="G102" t="b">
        <v>1</v>
      </c>
    </row>
    <row r="103" spans="1:7" x14ac:dyDescent="0.3">
      <c r="A103">
        <v>0</v>
      </c>
      <c r="B103" s="1" t="s">
        <v>8</v>
      </c>
      <c r="C103">
        <v>30</v>
      </c>
      <c r="D103">
        <v>7200</v>
      </c>
      <c r="G103" t="b">
        <v>1</v>
      </c>
    </row>
    <row r="104" spans="1:7" x14ac:dyDescent="0.3">
      <c r="A104">
        <v>0</v>
      </c>
      <c r="B104" s="1" t="s">
        <v>9</v>
      </c>
      <c r="C104">
        <v>30</v>
      </c>
      <c r="D104">
        <v>7200</v>
      </c>
      <c r="E104">
        <v>5.9007500007282943E-2</v>
      </c>
      <c r="F104">
        <v>0</v>
      </c>
      <c r="G104" t="b">
        <v>0</v>
      </c>
    </row>
    <row r="105" spans="1:7" x14ac:dyDescent="0.3">
      <c r="A105">
        <v>0</v>
      </c>
      <c r="B105" s="1" t="s">
        <v>10</v>
      </c>
      <c r="C105">
        <v>30</v>
      </c>
      <c r="D105">
        <v>7200</v>
      </c>
      <c r="E105">
        <v>1.7951399990124628E-2</v>
      </c>
      <c r="F105">
        <v>0</v>
      </c>
      <c r="G105" t="b">
        <v>0</v>
      </c>
    </row>
    <row r="106" spans="1:7" x14ac:dyDescent="0.3">
      <c r="A106">
        <v>0</v>
      </c>
      <c r="B106" s="1" t="s">
        <v>7</v>
      </c>
      <c r="C106">
        <v>50</v>
      </c>
      <c r="D106">
        <v>7200</v>
      </c>
      <c r="E106">
        <v>6.7590000980999321E-4</v>
      </c>
      <c r="F106">
        <v>0</v>
      </c>
      <c r="G106" t="b">
        <v>0</v>
      </c>
    </row>
    <row r="107" spans="1:7" x14ac:dyDescent="0.3">
      <c r="A107">
        <v>0</v>
      </c>
      <c r="B107" s="1" t="s">
        <v>8</v>
      </c>
      <c r="C107">
        <v>50</v>
      </c>
      <c r="D107">
        <v>7200</v>
      </c>
      <c r="G107" t="b">
        <v>1</v>
      </c>
    </row>
    <row r="108" spans="1:7" x14ac:dyDescent="0.3">
      <c r="A108">
        <v>0</v>
      </c>
      <c r="B108" s="1" t="s">
        <v>9</v>
      </c>
      <c r="C108">
        <v>50</v>
      </c>
      <c r="D108">
        <v>7200</v>
      </c>
      <c r="E108">
        <v>0.1771605000103591</v>
      </c>
      <c r="F108">
        <v>0</v>
      </c>
      <c r="G108" t="b">
        <v>0</v>
      </c>
    </row>
    <row r="109" spans="1:7" x14ac:dyDescent="0.3">
      <c r="A109">
        <v>0</v>
      </c>
      <c r="B109" s="1" t="s">
        <v>10</v>
      </c>
      <c r="C109">
        <v>50</v>
      </c>
      <c r="D109">
        <v>7200</v>
      </c>
      <c r="E109">
        <v>7.1730299998307601E-2</v>
      </c>
      <c r="F109">
        <v>0</v>
      </c>
      <c r="G109" t="b">
        <v>0</v>
      </c>
    </row>
    <row r="110" spans="1:7" x14ac:dyDescent="0.3">
      <c r="A110">
        <v>0</v>
      </c>
      <c r="B110" s="1" t="s">
        <v>7</v>
      </c>
      <c r="C110">
        <v>100</v>
      </c>
      <c r="D110">
        <v>7200</v>
      </c>
      <c r="E110">
        <v>4.4299999717622995E-4</v>
      </c>
      <c r="F110">
        <v>0</v>
      </c>
      <c r="G110" t="b">
        <v>0</v>
      </c>
    </row>
    <row r="111" spans="1:7" x14ac:dyDescent="0.3">
      <c r="A111">
        <v>0</v>
      </c>
      <c r="B111" s="1" t="s">
        <v>8</v>
      </c>
      <c r="C111">
        <v>100</v>
      </c>
      <c r="D111">
        <v>7200</v>
      </c>
      <c r="G111" t="b">
        <v>1</v>
      </c>
    </row>
    <row r="112" spans="1:7" x14ac:dyDescent="0.3">
      <c r="A112">
        <v>0</v>
      </c>
      <c r="B112" s="1" t="s">
        <v>9</v>
      </c>
      <c r="C112">
        <v>100</v>
      </c>
      <c r="D112">
        <v>7200</v>
      </c>
      <c r="E112">
        <v>0.52733779999834951</v>
      </c>
      <c r="F112">
        <v>0</v>
      </c>
      <c r="G112" t="b">
        <v>0</v>
      </c>
    </row>
    <row r="113" spans="1:7" x14ac:dyDescent="0.3">
      <c r="A113">
        <v>0</v>
      </c>
      <c r="B113" s="1" t="s">
        <v>10</v>
      </c>
      <c r="C113">
        <v>100</v>
      </c>
      <c r="D113">
        <v>7200</v>
      </c>
      <c r="E113">
        <v>0.19906610000180081</v>
      </c>
      <c r="F113">
        <v>0</v>
      </c>
      <c r="G113" t="b">
        <v>0</v>
      </c>
    </row>
    <row r="114" spans="1:7" x14ac:dyDescent="0.3">
      <c r="A114">
        <v>0</v>
      </c>
      <c r="B114" s="1" t="s">
        <v>7</v>
      </c>
      <c r="C114">
        <v>200</v>
      </c>
      <c r="D114">
        <v>7200</v>
      </c>
      <c r="E114">
        <v>5.7469999592285603E-4</v>
      </c>
      <c r="F114">
        <v>0</v>
      </c>
      <c r="G114" t="b">
        <v>0</v>
      </c>
    </row>
    <row r="115" spans="1:7" x14ac:dyDescent="0.3">
      <c r="A115">
        <v>0</v>
      </c>
      <c r="B115" s="1" t="s">
        <v>8</v>
      </c>
      <c r="C115">
        <v>200</v>
      </c>
      <c r="D115">
        <v>7200</v>
      </c>
      <c r="G115" t="b">
        <v>1</v>
      </c>
    </row>
    <row r="116" spans="1:7" x14ac:dyDescent="0.3">
      <c r="A116">
        <v>0</v>
      </c>
      <c r="B116" s="1" t="s">
        <v>9</v>
      </c>
      <c r="C116">
        <v>200</v>
      </c>
      <c r="D116">
        <v>7200</v>
      </c>
      <c r="E116">
        <v>1.3760342000023229</v>
      </c>
      <c r="F116">
        <v>0</v>
      </c>
      <c r="G116" t="b">
        <v>0</v>
      </c>
    </row>
    <row r="117" spans="1:7" x14ac:dyDescent="0.3">
      <c r="A117">
        <v>0</v>
      </c>
      <c r="B117" s="1" t="s">
        <v>10</v>
      </c>
      <c r="C117">
        <v>200</v>
      </c>
      <c r="D117">
        <v>7200</v>
      </c>
      <c r="E117">
        <v>0.48365350000676699</v>
      </c>
      <c r="F117">
        <v>0</v>
      </c>
      <c r="G117" t="b">
        <v>0</v>
      </c>
    </row>
    <row r="118" spans="1:7" x14ac:dyDescent="0.3">
      <c r="A118">
        <v>0</v>
      </c>
      <c r="B118" s="1" t="s">
        <v>7</v>
      </c>
      <c r="C118">
        <v>400</v>
      </c>
      <c r="D118">
        <v>7200</v>
      </c>
      <c r="E118">
        <v>5.9229999897070229E-4</v>
      </c>
      <c r="F118">
        <v>0</v>
      </c>
      <c r="G118" t="b">
        <v>0</v>
      </c>
    </row>
    <row r="119" spans="1:7" x14ac:dyDescent="0.3">
      <c r="A119">
        <v>0</v>
      </c>
      <c r="B119" s="1" t="s">
        <v>8</v>
      </c>
      <c r="C119">
        <v>400</v>
      </c>
      <c r="D119">
        <v>7200</v>
      </c>
      <c r="G119" t="b">
        <v>1</v>
      </c>
    </row>
    <row r="120" spans="1:7" x14ac:dyDescent="0.3">
      <c r="A120">
        <v>0</v>
      </c>
      <c r="B120" s="1" t="s">
        <v>9</v>
      </c>
      <c r="C120">
        <v>400</v>
      </c>
      <c r="D120">
        <v>7200</v>
      </c>
      <c r="E120">
        <v>3.4430557000014232</v>
      </c>
      <c r="F120">
        <v>0</v>
      </c>
      <c r="G120" t="b">
        <v>0</v>
      </c>
    </row>
    <row r="121" spans="1:7" x14ac:dyDescent="0.3">
      <c r="A121">
        <v>0</v>
      </c>
      <c r="B121" s="1" t="s">
        <v>10</v>
      </c>
      <c r="C121">
        <v>400</v>
      </c>
      <c r="D121">
        <v>7200</v>
      </c>
      <c r="E121">
        <v>1.490365000005113</v>
      </c>
      <c r="F121">
        <v>0</v>
      </c>
      <c r="G121" t="b">
        <v>0</v>
      </c>
    </row>
    <row r="122" spans="1:7" x14ac:dyDescent="0.3">
      <c r="A122">
        <v>1</v>
      </c>
      <c r="B122" s="1" t="s">
        <v>7</v>
      </c>
      <c r="C122">
        <v>10</v>
      </c>
      <c r="D122">
        <v>300</v>
      </c>
      <c r="G122" t="b">
        <v>1</v>
      </c>
    </row>
    <row r="123" spans="1:7" x14ac:dyDescent="0.3">
      <c r="A123">
        <v>1</v>
      </c>
      <c r="B123" s="1" t="s">
        <v>8</v>
      </c>
      <c r="C123">
        <v>10</v>
      </c>
      <c r="D123">
        <v>300</v>
      </c>
      <c r="E123">
        <v>7.9400007962249219E-5</v>
      </c>
      <c r="F123">
        <v>14</v>
      </c>
      <c r="G123" t="b">
        <v>0</v>
      </c>
    </row>
    <row r="124" spans="1:7" x14ac:dyDescent="0.3">
      <c r="A124">
        <v>1</v>
      </c>
      <c r="B124" s="1" t="s">
        <v>9</v>
      </c>
      <c r="C124">
        <v>10</v>
      </c>
      <c r="D124">
        <v>300</v>
      </c>
      <c r="E124">
        <v>4.1499995859339833E-5</v>
      </c>
      <c r="F124">
        <v>14</v>
      </c>
      <c r="G124" t="b">
        <v>0</v>
      </c>
    </row>
    <row r="125" spans="1:7" x14ac:dyDescent="0.3">
      <c r="A125">
        <v>1</v>
      </c>
      <c r="B125" s="1" t="s">
        <v>10</v>
      </c>
      <c r="C125">
        <v>10</v>
      </c>
      <c r="D125">
        <v>300</v>
      </c>
      <c r="E125">
        <v>4.1499995859339833E-5</v>
      </c>
      <c r="F125">
        <v>14</v>
      </c>
      <c r="G125" t="b">
        <v>0</v>
      </c>
    </row>
    <row r="126" spans="1:7" x14ac:dyDescent="0.3">
      <c r="A126">
        <v>1</v>
      </c>
      <c r="B126" s="1" t="s">
        <v>7</v>
      </c>
      <c r="C126">
        <v>30</v>
      </c>
      <c r="D126">
        <v>300</v>
      </c>
      <c r="G126" t="b">
        <v>1</v>
      </c>
    </row>
    <row r="127" spans="1:7" x14ac:dyDescent="0.3">
      <c r="A127">
        <v>1</v>
      </c>
      <c r="B127" s="1" t="s">
        <v>8</v>
      </c>
      <c r="C127">
        <v>30</v>
      </c>
      <c r="D127">
        <v>300</v>
      </c>
      <c r="E127">
        <v>1.8503000028431416E-3</v>
      </c>
      <c r="F127">
        <v>1</v>
      </c>
      <c r="G127" t="b">
        <v>0</v>
      </c>
    </row>
    <row r="128" spans="1:7" x14ac:dyDescent="0.3">
      <c r="A128">
        <v>1</v>
      </c>
      <c r="B128" s="1" t="s">
        <v>9</v>
      </c>
      <c r="C128">
        <v>30</v>
      </c>
      <c r="D128">
        <v>300</v>
      </c>
      <c r="E128">
        <v>1.9279999833088368E-4</v>
      </c>
      <c r="F128">
        <v>1</v>
      </c>
      <c r="G128" t="b">
        <v>0</v>
      </c>
    </row>
    <row r="129" spans="1:7" x14ac:dyDescent="0.3">
      <c r="A129">
        <v>1</v>
      </c>
      <c r="B129" s="1" t="s">
        <v>10</v>
      </c>
      <c r="C129">
        <v>30</v>
      </c>
      <c r="D129">
        <v>300</v>
      </c>
      <c r="E129">
        <v>2.0719999156426638E-4</v>
      </c>
      <c r="F129">
        <v>1</v>
      </c>
      <c r="G129" t="b">
        <v>0</v>
      </c>
    </row>
    <row r="130" spans="1:7" x14ac:dyDescent="0.3">
      <c r="A130">
        <v>1</v>
      </c>
      <c r="B130" s="1" t="s">
        <v>7</v>
      </c>
      <c r="C130">
        <v>50</v>
      </c>
      <c r="D130">
        <v>300</v>
      </c>
      <c r="G130" t="b">
        <v>1</v>
      </c>
    </row>
    <row r="131" spans="1:7" x14ac:dyDescent="0.3">
      <c r="A131">
        <v>1</v>
      </c>
      <c r="B131" s="1" t="s">
        <v>8</v>
      </c>
      <c r="C131">
        <v>50</v>
      </c>
      <c r="D131">
        <v>300</v>
      </c>
      <c r="E131">
        <v>6.5621000103419647E-3</v>
      </c>
      <c r="F131">
        <v>0</v>
      </c>
      <c r="G131" t="b">
        <v>0</v>
      </c>
    </row>
    <row r="132" spans="1:7" x14ac:dyDescent="0.3">
      <c r="A132">
        <v>1</v>
      </c>
      <c r="B132" s="1" t="s">
        <v>9</v>
      </c>
      <c r="C132">
        <v>50</v>
      </c>
      <c r="D132">
        <v>300</v>
      </c>
      <c r="E132">
        <v>3.958999877795577E-4</v>
      </c>
      <c r="F132">
        <v>0</v>
      </c>
      <c r="G132" t="b">
        <v>0</v>
      </c>
    </row>
    <row r="133" spans="1:7" x14ac:dyDescent="0.3">
      <c r="A133">
        <v>1</v>
      </c>
      <c r="B133" s="1" t="s">
        <v>10</v>
      </c>
      <c r="C133">
        <v>50</v>
      </c>
      <c r="D133">
        <v>300</v>
      </c>
      <c r="E133">
        <v>3.2110000029206276E-4</v>
      </c>
      <c r="F133">
        <v>0</v>
      </c>
      <c r="G133" t="b">
        <v>0</v>
      </c>
    </row>
    <row r="134" spans="1:7" x14ac:dyDescent="0.3">
      <c r="A134">
        <v>1</v>
      </c>
      <c r="B134" s="1" t="s">
        <v>7</v>
      </c>
      <c r="C134">
        <v>100</v>
      </c>
      <c r="D134">
        <v>300</v>
      </c>
      <c r="E134">
        <v>7.2189999627880752E-4</v>
      </c>
      <c r="F134">
        <v>0</v>
      </c>
      <c r="G134" t="b">
        <v>0</v>
      </c>
    </row>
    <row r="135" spans="1:7" x14ac:dyDescent="0.3">
      <c r="A135">
        <v>1</v>
      </c>
      <c r="B135" s="1" t="s">
        <v>8</v>
      </c>
      <c r="C135">
        <v>100</v>
      </c>
      <c r="D135">
        <v>300</v>
      </c>
      <c r="E135">
        <v>0.35812770000484306</v>
      </c>
      <c r="F135">
        <v>0</v>
      </c>
      <c r="G135" t="b">
        <v>0</v>
      </c>
    </row>
    <row r="136" spans="1:7" x14ac:dyDescent="0.3">
      <c r="A136">
        <v>1</v>
      </c>
      <c r="B136" s="1" t="s">
        <v>9</v>
      </c>
      <c r="C136">
        <v>100</v>
      </c>
      <c r="D136">
        <v>300</v>
      </c>
      <c r="E136">
        <v>2.2126999974716455E-3</v>
      </c>
      <c r="F136">
        <v>0</v>
      </c>
      <c r="G136" t="b">
        <v>0</v>
      </c>
    </row>
    <row r="137" spans="1:7" x14ac:dyDescent="0.3">
      <c r="A137">
        <v>1</v>
      </c>
      <c r="B137" s="1" t="s">
        <v>10</v>
      </c>
      <c r="C137">
        <v>100</v>
      </c>
      <c r="D137">
        <v>300</v>
      </c>
      <c r="E137">
        <v>1.487400004407391E-3</v>
      </c>
      <c r="F137">
        <v>0</v>
      </c>
      <c r="G137" t="b">
        <v>0</v>
      </c>
    </row>
    <row r="138" spans="1:7" x14ac:dyDescent="0.3">
      <c r="A138">
        <v>1</v>
      </c>
      <c r="B138" s="1" t="s">
        <v>7</v>
      </c>
      <c r="C138">
        <v>200</v>
      </c>
      <c r="D138">
        <v>300</v>
      </c>
      <c r="E138">
        <v>2.3300001339521259E-4</v>
      </c>
      <c r="F138">
        <v>0</v>
      </c>
      <c r="G138" t="b">
        <v>0</v>
      </c>
    </row>
    <row r="139" spans="1:7" x14ac:dyDescent="0.3">
      <c r="A139">
        <v>1</v>
      </c>
      <c r="B139" s="1" t="s">
        <v>8</v>
      </c>
      <c r="C139">
        <v>200</v>
      </c>
      <c r="D139">
        <v>300</v>
      </c>
      <c r="G139" t="b">
        <v>1</v>
      </c>
    </row>
    <row r="140" spans="1:7" x14ac:dyDescent="0.3">
      <c r="A140">
        <v>1</v>
      </c>
      <c r="B140" s="1" t="s">
        <v>9</v>
      </c>
      <c r="C140">
        <v>200</v>
      </c>
      <c r="D140">
        <v>300</v>
      </c>
      <c r="E140">
        <v>6.8945999955758452E-3</v>
      </c>
      <c r="F140">
        <v>0</v>
      </c>
      <c r="G140" t="b">
        <v>0</v>
      </c>
    </row>
    <row r="141" spans="1:7" x14ac:dyDescent="0.3">
      <c r="A141">
        <v>1</v>
      </c>
      <c r="B141" s="1" t="s">
        <v>10</v>
      </c>
      <c r="C141">
        <v>200</v>
      </c>
      <c r="D141">
        <v>300</v>
      </c>
      <c r="E141">
        <v>5.2819999982602894E-3</v>
      </c>
      <c r="F141">
        <v>0</v>
      </c>
      <c r="G141" t="b">
        <v>0</v>
      </c>
    </row>
    <row r="142" spans="1:7" x14ac:dyDescent="0.3">
      <c r="A142">
        <v>1</v>
      </c>
      <c r="B142" s="1" t="s">
        <v>7</v>
      </c>
      <c r="C142">
        <v>400</v>
      </c>
      <c r="D142">
        <v>300</v>
      </c>
      <c r="G142" t="b">
        <v>1</v>
      </c>
    </row>
    <row r="143" spans="1:7" x14ac:dyDescent="0.3">
      <c r="A143">
        <v>1</v>
      </c>
      <c r="B143" s="1" t="s">
        <v>8</v>
      </c>
      <c r="C143">
        <v>400</v>
      </c>
      <c r="D143">
        <v>300</v>
      </c>
      <c r="G143" t="b">
        <v>1</v>
      </c>
    </row>
    <row r="144" spans="1:7" x14ac:dyDescent="0.3">
      <c r="A144">
        <v>1</v>
      </c>
      <c r="B144" s="1" t="s">
        <v>9</v>
      </c>
      <c r="C144">
        <v>400</v>
      </c>
      <c r="D144">
        <v>300</v>
      </c>
      <c r="E144">
        <v>2.1353799995267764E-2</v>
      </c>
      <c r="F144">
        <v>0</v>
      </c>
      <c r="G144" t="b">
        <v>0</v>
      </c>
    </row>
    <row r="145" spans="1:7" x14ac:dyDescent="0.3">
      <c r="A145">
        <v>1</v>
      </c>
      <c r="B145" s="1" t="s">
        <v>10</v>
      </c>
      <c r="C145">
        <v>400</v>
      </c>
      <c r="D145">
        <v>300</v>
      </c>
      <c r="E145">
        <v>1.0900000008405186E-2</v>
      </c>
      <c r="F145">
        <v>0</v>
      </c>
      <c r="G145" t="b">
        <v>0</v>
      </c>
    </row>
    <row r="146" spans="1:7" x14ac:dyDescent="0.3">
      <c r="A146">
        <v>1</v>
      </c>
      <c r="B146" s="1" t="s">
        <v>7</v>
      </c>
      <c r="C146">
        <v>10</v>
      </c>
      <c r="D146">
        <v>600</v>
      </c>
      <c r="G146" t="b">
        <v>1</v>
      </c>
    </row>
    <row r="147" spans="1:7" x14ac:dyDescent="0.3">
      <c r="A147">
        <v>1</v>
      </c>
      <c r="B147" s="1" t="s">
        <v>8</v>
      </c>
      <c r="C147">
        <v>10</v>
      </c>
      <c r="D147">
        <v>600</v>
      </c>
      <c r="E147">
        <v>1.2710000737570226E-4</v>
      </c>
      <c r="F147">
        <v>8</v>
      </c>
      <c r="G147" t="b">
        <v>0</v>
      </c>
    </row>
    <row r="148" spans="1:7" x14ac:dyDescent="0.3">
      <c r="A148">
        <v>1</v>
      </c>
      <c r="B148" s="1" t="s">
        <v>9</v>
      </c>
      <c r="C148">
        <v>10</v>
      </c>
      <c r="D148">
        <v>600</v>
      </c>
      <c r="E148">
        <v>8.3400009316392243E-5</v>
      </c>
      <c r="F148">
        <v>7</v>
      </c>
      <c r="G148" t="b">
        <v>0</v>
      </c>
    </row>
    <row r="149" spans="1:7" x14ac:dyDescent="0.3">
      <c r="A149">
        <v>1</v>
      </c>
      <c r="B149" s="1" t="s">
        <v>10</v>
      </c>
      <c r="C149">
        <v>10</v>
      </c>
      <c r="D149">
        <v>600</v>
      </c>
      <c r="E149">
        <v>8.250000246334821E-5</v>
      </c>
      <c r="F149">
        <v>7</v>
      </c>
      <c r="G149" t="b">
        <v>0</v>
      </c>
    </row>
    <row r="150" spans="1:7" x14ac:dyDescent="0.3">
      <c r="A150">
        <v>1</v>
      </c>
      <c r="B150" s="1" t="s">
        <v>7</v>
      </c>
      <c r="C150">
        <v>30</v>
      </c>
      <c r="D150">
        <v>600</v>
      </c>
      <c r="G150" t="b">
        <v>1</v>
      </c>
    </row>
    <row r="151" spans="1:7" x14ac:dyDescent="0.3">
      <c r="A151">
        <v>1</v>
      </c>
      <c r="B151" s="1" t="s">
        <v>8</v>
      </c>
      <c r="C151">
        <v>30</v>
      </c>
      <c r="D151">
        <v>600</v>
      </c>
      <c r="E151">
        <v>1.7977800001972355E-2</v>
      </c>
      <c r="F151">
        <v>0</v>
      </c>
      <c r="G151" t="b">
        <v>0</v>
      </c>
    </row>
    <row r="152" spans="1:7" x14ac:dyDescent="0.3">
      <c r="A152">
        <v>1</v>
      </c>
      <c r="B152" s="1" t="s">
        <v>9</v>
      </c>
      <c r="C152">
        <v>30</v>
      </c>
      <c r="D152">
        <v>600</v>
      </c>
      <c r="E152">
        <v>3.0192999984137714E-3</v>
      </c>
      <c r="F152">
        <v>0</v>
      </c>
      <c r="G152" t="b">
        <v>0</v>
      </c>
    </row>
    <row r="153" spans="1:7" x14ac:dyDescent="0.3">
      <c r="A153">
        <v>1</v>
      </c>
      <c r="B153" s="1" t="s">
        <v>10</v>
      </c>
      <c r="C153">
        <v>30</v>
      </c>
      <c r="D153">
        <v>600</v>
      </c>
      <c r="E153">
        <v>9.0190001355949789E-4</v>
      </c>
      <c r="F153">
        <v>0</v>
      </c>
      <c r="G153" t="b">
        <v>0</v>
      </c>
    </row>
    <row r="154" spans="1:7" x14ac:dyDescent="0.3">
      <c r="A154">
        <v>1</v>
      </c>
      <c r="B154" s="1" t="s">
        <v>7</v>
      </c>
      <c r="C154">
        <v>50</v>
      </c>
      <c r="D154">
        <v>600</v>
      </c>
      <c r="E154">
        <v>9.7769999410957098E-4</v>
      </c>
      <c r="F154">
        <v>0</v>
      </c>
      <c r="G154" t="b">
        <v>0</v>
      </c>
    </row>
    <row r="155" spans="1:7" x14ac:dyDescent="0.3">
      <c r="A155">
        <v>1</v>
      </c>
      <c r="B155" s="1" t="s">
        <v>8</v>
      </c>
      <c r="C155">
        <v>50</v>
      </c>
      <c r="D155">
        <v>600</v>
      </c>
      <c r="E155">
        <v>0.81028479999804404</v>
      </c>
      <c r="F155">
        <v>0</v>
      </c>
      <c r="G155" t="b">
        <v>0</v>
      </c>
    </row>
    <row r="156" spans="1:7" x14ac:dyDescent="0.3">
      <c r="A156">
        <v>1</v>
      </c>
      <c r="B156" s="1" t="s">
        <v>9</v>
      </c>
      <c r="C156">
        <v>50</v>
      </c>
      <c r="D156">
        <v>600</v>
      </c>
      <c r="E156">
        <v>3.5331999970367178E-3</v>
      </c>
      <c r="F156">
        <v>0</v>
      </c>
      <c r="G156" t="b">
        <v>0</v>
      </c>
    </row>
    <row r="157" spans="1:7" x14ac:dyDescent="0.3">
      <c r="A157">
        <v>1</v>
      </c>
      <c r="B157" s="1" t="s">
        <v>10</v>
      </c>
      <c r="C157">
        <v>50</v>
      </c>
      <c r="D157">
        <v>600</v>
      </c>
      <c r="E157">
        <v>1.9865999929606915E-3</v>
      </c>
      <c r="F157">
        <v>0</v>
      </c>
      <c r="G157" t="b">
        <v>0</v>
      </c>
    </row>
    <row r="158" spans="1:7" x14ac:dyDescent="0.3">
      <c r="A158">
        <v>1</v>
      </c>
      <c r="B158" s="1" t="s">
        <v>7</v>
      </c>
      <c r="C158">
        <v>100</v>
      </c>
      <c r="D158">
        <v>600</v>
      </c>
      <c r="E158">
        <v>2.1616999874822795E-3</v>
      </c>
      <c r="F158">
        <v>0</v>
      </c>
      <c r="G158" t="b">
        <v>0</v>
      </c>
    </row>
    <row r="159" spans="1:7" x14ac:dyDescent="0.3">
      <c r="A159">
        <v>1</v>
      </c>
      <c r="B159" s="1" t="s">
        <v>8</v>
      </c>
      <c r="C159">
        <v>100</v>
      </c>
      <c r="D159">
        <v>600</v>
      </c>
      <c r="G159" t="b">
        <v>1</v>
      </c>
    </row>
    <row r="160" spans="1:7" x14ac:dyDescent="0.3">
      <c r="A160">
        <v>1</v>
      </c>
      <c r="B160" s="1" t="s">
        <v>9</v>
      </c>
      <c r="C160">
        <v>100</v>
      </c>
      <c r="D160">
        <v>600</v>
      </c>
      <c r="E160">
        <v>1.1401800002204254E-2</v>
      </c>
      <c r="F160">
        <v>0</v>
      </c>
      <c r="G160" t="b">
        <v>0</v>
      </c>
    </row>
    <row r="161" spans="1:7" x14ac:dyDescent="0.3">
      <c r="A161">
        <v>1</v>
      </c>
      <c r="B161" s="1" t="s">
        <v>10</v>
      </c>
      <c r="C161">
        <v>100</v>
      </c>
      <c r="D161">
        <v>600</v>
      </c>
      <c r="E161">
        <v>5.0871999992523342E-3</v>
      </c>
      <c r="F161">
        <v>0</v>
      </c>
      <c r="G161" t="b">
        <v>0</v>
      </c>
    </row>
    <row r="162" spans="1:7" x14ac:dyDescent="0.3">
      <c r="A162">
        <v>1</v>
      </c>
      <c r="B162" s="1" t="s">
        <v>7</v>
      </c>
      <c r="C162">
        <v>200</v>
      </c>
      <c r="D162">
        <v>600</v>
      </c>
      <c r="E162">
        <v>1.9859999883919954E-4</v>
      </c>
      <c r="F162">
        <v>0</v>
      </c>
      <c r="G162" t="b">
        <v>0</v>
      </c>
    </row>
    <row r="163" spans="1:7" x14ac:dyDescent="0.3">
      <c r="A163">
        <v>1</v>
      </c>
      <c r="B163" s="1" t="s">
        <v>8</v>
      </c>
      <c r="C163">
        <v>200</v>
      </c>
      <c r="D163">
        <v>600</v>
      </c>
      <c r="G163" t="b">
        <v>1</v>
      </c>
    </row>
    <row r="164" spans="1:7" x14ac:dyDescent="0.3">
      <c r="A164">
        <v>1</v>
      </c>
      <c r="B164" s="1" t="s">
        <v>9</v>
      </c>
      <c r="C164">
        <v>200</v>
      </c>
      <c r="D164">
        <v>600</v>
      </c>
      <c r="E164">
        <v>2.8897099997266196E-2</v>
      </c>
      <c r="F164">
        <v>0</v>
      </c>
      <c r="G164" t="b">
        <v>0</v>
      </c>
    </row>
    <row r="165" spans="1:7" x14ac:dyDescent="0.3">
      <c r="A165">
        <v>1</v>
      </c>
      <c r="B165" s="1" t="s">
        <v>10</v>
      </c>
      <c r="C165">
        <v>200</v>
      </c>
      <c r="D165">
        <v>600</v>
      </c>
      <c r="E165">
        <v>1.072829999611713E-2</v>
      </c>
      <c r="F165">
        <v>0</v>
      </c>
      <c r="G165" t="b">
        <v>0</v>
      </c>
    </row>
    <row r="166" spans="1:7" x14ac:dyDescent="0.3">
      <c r="A166">
        <v>1</v>
      </c>
      <c r="B166" s="1" t="s">
        <v>7</v>
      </c>
      <c r="C166">
        <v>400</v>
      </c>
      <c r="D166">
        <v>600</v>
      </c>
      <c r="E166">
        <v>4.3220000225119293E-4</v>
      </c>
      <c r="F166">
        <v>0</v>
      </c>
      <c r="G166" t="b">
        <v>0</v>
      </c>
    </row>
    <row r="167" spans="1:7" x14ac:dyDescent="0.3">
      <c r="A167">
        <v>1</v>
      </c>
      <c r="B167" s="1" t="s">
        <v>8</v>
      </c>
      <c r="C167">
        <v>400</v>
      </c>
      <c r="D167">
        <v>600</v>
      </c>
      <c r="G167" t="b">
        <v>1</v>
      </c>
    </row>
    <row r="168" spans="1:7" x14ac:dyDescent="0.3">
      <c r="A168">
        <v>1</v>
      </c>
      <c r="B168" s="1" t="s">
        <v>9</v>
      </c>
      <c r="C168">
        <v>400</v>
      </c>
      <c r="D168">
        <v>600</v>
      </c>
      <c r="E168">
        <v>7.4662000013631769E-2</v>
      </c>
      <c r="F168">
        <v>0</v>
      </c>
      <c r="G168" t="b">
        <v>0</v>
      </c>
    </row>
    <row r="169" spans="1:7" x14ac:dyDescent="0.3">
      <c r="A169">
        <v>1</v>
      </c>
      <c r="B169" s="1" t="s">
        <v>10</v>
      </c>
      <c r="C169">
        <v>400</v>
      </c>
      <c r="D169">
        <v>600</v>
      </c>
      <c r="E169">
        <v>3.0792199991992675E-2</v>
      </c>
      <c r="F169">
        <v>0</v>
      </c>
      <c r="G169" t="b">
        <v>0</v>
      </c>
    </row>
    <row r="170" spans="1:7" x14ac:dyDescent="0.3">
      <c r="A170">
        <v>1</v>
      </c>
      <c r="B170" s="1" t="s">
        <v>7</v>
      </c>
      <c r="C170">
        <v>10</v>
      </c>
      <c r="D170">
        <v>1200</v>
      </c>
      <c r="G170" t="b">
        <v>1</v>
      </c>
    </row>
    <row r="171" spans="1:7" x14ac:dyDescent="0.3">
      <c r="A171">
        <v>1</v>
      </c>
      <c r="B171" s="1" t="s">
        <v>8</v>
      </c>
      <c r="C171">
        <v>10</v>
      </c>
      <c r="D171">
        <v>1200</v>
      </c>
      <c r="E171">
        <v>3.9830000605434179E-4</v>
      </c>
      <c r="F171">
        <v>0</v>
      </c>
      <c r="G171" t="b">
        <v>0</v>
      </c>
    </row>
    <row r="172" spans="1:7" x14ac:dyDescent="0.3">
      <c r="A172">
        <v>1</v>
      </c>
      <c r="B172" s="1" t="s">
        <v>9</v>
      </c>
      <c r="C172">
        <v>10</v>
      </c>
      <c r="D172">
        <v>1200</v>
      </c>
      <c r="E172">
        <v>2.330999996047467E-4</v>
      </c>
      <c r="F172">
        <v>0</v>
      </c>
      <c r="G172" t="b">
        <v>0</v>
      </c>
    </row>
    <row r="173" spans="1:7" x14ac:dyDescent="0.3">
      <c r="A173">
        <v>1</v>
      </c>
      <c r="B173" s="1" t="s">
        <v>10</v>
      </c>
      <c r="C173">
        <v>10</v>
      </c>
      <c r="D173">
        <v>1200</v>
      </c>
      <c r="E173">
        <v>1.942000089911744E-4</v>
      </c>
      <c r="F173">
        <v>0</v>
      </c>
      <c r="G173" t="b">
        <v>0</v>
      </c>
    </row>
    <row r="174" spans="1:7" x14ac:dyDescent="0.3">
      <c r="A174">
        <v>1</v>
      </c>
      <c r="B174" s="1" t="s">
        <v>7</v>
      </c>
      <c r="C174">
        <v>30</v>
      </c>
      <c r="D174">
        <v>1200</v>
      </c>
      <c r="E174">
        <v>9.1460000840015709E-4</v>
      </c>
      <c r="F174">
        <v>0</v>
      </c>
      <c r="G174" t="b">
        <v>0</v>
      </c>
    </row>
    <row r="175" spans="1:7" x14ac:dyDescent="0.3">
      <c r="A175">
        <v>1</v>
      </c>
      <c r="B175" s="1" t="s">
        <v>8</v>
      </c>
      <c r="C175">
        <v>30</v>
      </c>
      <c r="D175">
        <v>1200</v>
      </c>
      <c r="E175">
        <v>0.94420480000553653</v>
      </c>
      <c r="F175">
        <v>0</v>
      </c>
      <c r="G175" t="b">
        <v>0</v>
      </c>
    </row>
    <row r="176" spans="1:7" x14ac:dyDescent="0.3">
      <c r="A176">
        <v>1</v>
      </c>
      <c r="B176" s="1" t="s">
        <v>9</v>
      </c>
      <c r="C176">
        <v>30</v>
      </c>
      <c r="D176">
        <v>1200</v>
      </c>
      <c r="E176">
        <v>1.1331500005326234E-2</v>
      </c>
      <c r="F176">
        <v>0</v>
      </c>
      <c r="G176" t="b">
        <v>0</v>
      </c>
    </row>
    <row r="177" spans="1:7" x14ac:dyDescent="0.3">
      <c r="A177">
        <v>1</v>
      </c>
      <c r="B177" s="1" t="s">
        <v>10</v>
      </c>
      <c r="C177">
        <v>30</v>
      </c>
      <c r="D177">
        <v>1200</v>
      </c>
      <c r="E177">
        <v>3.3915000094566494E-3</v>
      </c>
      <c r="F177">
        <v>0</v>
      </c>
      <c r="G177" t="b">
        <v>0</v>
      </c>
    </row>
    <row r="178" spans="1:7" x14ac:dyDescent="0.3">
      <c r="A178">
        <v>1</v>
      </c>
      <c r="B178" s="1" t="s">
        <v>7</v>
      </c>
      <c r="C178">
        <v>50</v>
      </c>
      <c r="D178">
        <v>1200</v>
      </c>
      <c r="E178">
        <v>1.0747000051196665E-3</v>
      </c>
      <c r="F178">
        <v>0</v>
      </c>
      <c r="G178" t="b">
        <v>0</v>
      </c>
    </row>
    <row r="179" spans="1:7" x14ac:dyDescent="0.3">
      <c r="A179">
        <v>1</v>
      </c>
      <c r="B179" s="1" t="s">
        <v>8</v>
      </c>
      <c r="C179">
        <v>50</v>
      </c>
      <c r="D179">
        <v>1200</v>
      </c>
      <c r="G179" t="b">
        <v>1</v>
      </c>
    </row>
    <row r="180" spans="1:7" x14ac:dyDescent="0.3">
      <c r="A180">
        <v>1</v>
      </c>
      <c r="B180" s="1" t="s">
        <v>9</v>
      </c>
      <c r="C180">
        <v>50</v>
      </c>
      <c r="D180">
        <v>1200</v>
      </c>
      <c r="E180">
        <v>1.3417199996183626E-2</v>
      </c>
      <c r="F180">
        <v>0</v>
      </c>
      <c r="G180" t="b">
        <v>0</v>
      </c>
    </row>
    <row r="181" spans="1:7" x14ac:dyDescent="0.3">
      <c r="A181">
        <v>1</v>
      </c>
      <c r="B181" s="1" t="s">
        <v>10</v>
      </c>
      <c r="C181">
        <v>50</v>
      </c>
      <c r="D181">
        <v>1200</v>
      </c>
      <c r="E181">
        <v>5.1500999979907647E-3</v>
      </c>
      <c r="F181">
        <v>0</v>
      </c>
      <c r="G181" t="b">
        <v>0</v>
      </c>
    </row>
    <row r="182" spans="1:7" x14ac:dyDescent="0.3">
      <c r="A182">
        <v>1</v>
      </c>
      <c r="B182" s="1" t="s">
        <v>7</v>
      </c>
      <c r="C182">
        <v>100</v>
      </c>
      <c r="D182">
        <v>1200</v>
      </c>
      <c r="E182">
        <v>6.9700006861239672E-5</v>
      </c>
      <c r="F182">
        <v>0</v>
      </c>
      <c r="G182" t="b">
        <v>0</v>
      </c>
    </row>
    <row r="183" spans="1:7" x14ac:dyDescent="0.3">
      <c r="A183">
        <v>1</v>
      </c>
      <c r="B183" s="1" t="s">
        <v>8</v>
      </c>
      <c r="C183">
        <v>100</v>
      </c>
      <c r="D183">
        <v>1200</v>
      </c>
      <c r="G183" t="b">
        <v>1</v>
      </c>
    </row>
    <row r="184" spans="1:7" x14ac:dyDescent="0.3">
      <c r="A184">
        <v>1</v>
      </c>
      <c r="B184" s="1" t="s">
        <v>9</v>
      </c>
      <c r="C184">
        <v>100</v>
      </c>
      <c r="D184">
        <v>1200</v>
      </c>
      <c r="E184">
        <v>4.0326900008949451E-2</v>
      </c>
      <c r="F184">
        <v>0</v>
      </c>
      <c r="G184" t="b">
        <v>0</v>
      </c>
    </row>
    <row r="185" spans="1:7" x14ac:dyDescent="0.3">
      <c r="A185">
        <v>1</v>
      </c>
      <c r="B185" s="1" t="s">
        <v>10</v>
      </c>
      <c r="C185">
        <v>100</v>
      </c>
      <c r="D185">
        <v>1200</v>
      </c>
      <c r="E185">
        <v>1.2288300000363961E-2</v>
      </c>
      <c r="F185">
        <v>0</v>
      </c>
      <c r="G185" t="b">
        <v>0</v>
      </c>
    </row>
    <row r="186" spans="1:7" x14ac:dyDescent="0.3">
      <c r="A186">
        <v>1</v>
      </c>
      <c r="B186" s="1" t="s">
        <v>7</v>
      </c>
      <c r="C186">
        <v>200</v>
      </c>
      <c r="D186">
        <v>1200</v>
      </c>
      <c r="E186">
        <v>2.3794000007910654E-3</v>
      </c>
      <c r="F186">
        <v>0</v>
      </c>
      <c r="G186" t="b">
        <v>0</v>
      </c>
    </row>
    <row r="187" spans="1:7" x14ac:dyDescent="0.3">
      <c r="A187">
        <v>1</v>
      </c>
      <c r="B187" s="1" t="s">
        <v>8</v>
      </c>
      <c r="C187">
        <v>200</v>
      </c>
      <c r="D187">
        <v>1200</v>
      </c>
      <c r="G187" t="b">
        <v>1</v>
      </c>
    </row>
    <row r="188" spans="1:7" x14ac:dyDescent="0.3">
      <c r="A188">
        <v>1</v>
      </c>
      <c r="B188" s="1" t="s">
        <v>9</v>
      </c>
      <c r="C188">
        <v>200</v>
      </c>
      <c r="D188">
        <v>1200</v>
      </c>
      <c r="E188">
        <v>8.8659500004723668E-2</v>
      </c>
      <c r="F188">
        <v>0</v>
      </c>
      <c r="G188" t="b">
        <v>0</v>
      </c>
    </row>
    <row r="189" spans="1:7" x14ac:dyDescent="0.3">
      <c r="A189">
        <v>1</v>
      </c>
      <c r="B189" s="1" t="s">
        <v>10</v>
      </c>
      <c r="C189">
        <v>200</v>
      </c>
      <c r="D189">
        <v>1200</v>
      </c>
      <c r="E189">
        <v>2.5532400002703071E-2</v>
      </c>
      <c r="F189">
        <v>0</v>
      </c>
      <c r="G189" t="b">
        <v>0</v>
      </c>
    </row>
    <row r="190" spans="1:7" x14ac:dyDescent="0.3">
      <c r="A190">
        <v>1</v>
      </c>
      <c r="B190" s="1" t="s">
        <v>7</v>
      </c>
      <c r="C190">
        <v>400</v>
      </c>
      <c r="D190">
        <v>1200</v>
      </c>
      <c r="E190">
        <v>1.4780000492464751E-4</v>
      </c>
      <c r="F190">
        <v>0</v>
      </c>
      <c r="G190" t="b">
        <v>0</v>
      </c>
    </row>
    <row r="191" spans="1:7" x14ac:dyDescent="0.3">
      <c r="A191">
        <v>1</v>
      </c>
      <c r="B191" s="1" t="s">
        <v>8</v>
      </c>
      <c r="C191">
        <v>400</v>
      </c>
      <c r="D191">
        <v>1200</v>
      </c>
      <c r="G191" t="b">
        <v>1</v>
      </c>
    </row>
    <row r="192" spans="1:7" x14ac:dyDescent="0.3">
      <c r="A192">
        <v>1</v>
      </c>
      <c r="B192" s="1" t="s">
        <v>9</v>
      </c>
      <c r="C192">
        <v>400</v>
      </c>
      <c r="D192">
        <v>1200</v>
      </c>
      <c r="E192">
        <v>0.19180989998858422</v>
      </c>
      <c r="F192">
        <v>0</v>
      </c>
      <c r="G192" t="b">
        <v>0</v>
      </c>
    </row>
    <row r="193" spans="1:7" x14ac:dyDescent="0.3">
      <c r="A193">
        <v>1</v>
      </c>
      <c r="B193" s="1" t="s">
        <v>10</v>
      </c>
      <c r="C193">
        <v>400</v>
      </c>
      <c r="D193">
        <v>1200</v>
      </c>
      <c r="E193">
        <v>5.5995599992456846E-2</v>
      </c>
      <c r="F193">
        <v>0</v>
      </c>
      <c r="G193" t="b">
        <v>0</v>
      </c>
    </row>
    <row r="194" spans="1:7" x14ac:dyDescent="0.3">
      <c r="A194">
        <v>1</v>
      </c>
      <c r="B194" s="1" t="s">
        <v>7</v>
      </c>
      <c r="C194">
        <v>10</v>
      </c>
      <c r="D194">
        <v>3600</v>
      </c>
      <c r="E194">
        <v>1.7900005332194269E-5</v>
      </c>
      <c r="F194">
        <v>505</v>
      </c>
      <c r="G194" t="b">
        <v>0</v>
      </c>
    </row>
    <row r="195" spans="1:7" x14ac:dyDescent="0.3">
      <c r="A195">
        <v>1</v>
      </c>
      <c r="B195" s="1" t="s">
        <v>8</v>
      </c>
      <c r="C195">
        <v>10</v>
      </c>
      <c r="D195">
        <v>3600</v>
      </c>
      <c r="E195">
        <v>6.1259999347385019E-4</v>
      </c>
      <c r="F195">
        <v>505</v>
      </c>
      <c r="G195" t="b">
        <v>0</v>
      </c>
    </row>
    <row r="196" spans="1:7" x14ac:dyDescent="0.3">
      <c r="A196">
        <v>1</v>
      </c>
      <c r="B196" s="1" t="s">
        <v>9</v>
      </c>
      <c r="C196">
        <v>10</v>
      </c>
      <c r="D196">
        <v>3600</v>
      </c>
      <c r="E196">
        <v>8.2139999722130597E-4</v>
      </c>
      <c r="F196">
        <v>505</v>
      </c>
      <c r="G196" t="b">
        <v>0</v>
      </c>
    </row>
    <row r="197" spans="1:7" x14ac:dyDescent="0.3">
      <c r="A197">
        <v>1</v>
      </c>
      <c r="B197" s="1" t="s">
        <v>10</v>
      </c>
      <c r="C197">
        <v>10</v>
      </c>
      <c r="D197">
        <v>3600</v>
      </c>
      <c r="E197">
        <v>4.0059999446384609E-4</v>
      </c>
      <c r="F197">
        <v>505</v>
      </c>
      <c r="G197" t="b">
        <v>0</v>
      </c>
    </row>
    <row r="198" spans="1:7" x14ac:dyDescent="0.3">
      <c r="A198">
        <v>1</v>
      </c>
      <c r="B198" s="1" t="s">
        <v>7</v>
      </c>
      <c r="C198">
        <v>30</v>
      </c>
      <c r="D198">
        <v>3600</v>
      </c>
      <c r="E198">
        <v>1.6790001245681196E-4</v>
      </c>
      <c r="F198">
        <v>0</v>
      </c>
      <c r="G198" t="b">
        <v>0</v>
      </c>
    </row>
    <row r="199" spans="1:7" x14ac:dyDescent="0.3">
      <c r="A199">
        <v>1</v>
      </c>
      <c r="B199" s="1" t="s">
        <v>8</v>
      </c>
      <c r="C199">
        <v>30</v>
      </c>
      <c r="D199">
        <v>3600</v>
      </c>
      <c r="G199" t="b">
        <v>1</v>
      </c>
    </row>
    <row r="200" spans="1:7" x14ac:dyDescent="0.3">
      <c r="A200">
        <v>1</v>
      </c>
      <c r="B200" s="1" t="s">
        <v>9</v>
      </c>
      <c r="C200">
        <v>30</v>
      </c>
      <c r="D200">
        <v>3600</v>
      </c>
      <c r="E200">
        <v>2.7291999998851679E-2</v>
      </c>
      <c r="F200">
        <v>0</v>
      </c>
      <c r="G200" t="b">
        <v>0</v>
      </c>
    </row>
    <row r="201" spans="1:7" x14ac:dyDescent="0.3">
      <c r="A201">
        <v>1</v>
      </c>
      <c r="B201" s="1" t="s">
        <v>10</v>
      </c>
      <c r="C201">
        <v>30</v>
      </c>
      <c r="D201">
        <v>3600</v>
      </c>
      <c r="E201">
        <v>1.1421899995184503E-2</v>
      </c>
      <c r="F201">
        <v>0</v>
      </c>
      <c r="G201" t="b">
        <v>0</v>
      </c>
    </row>
    <row r="202" spans="1:7" x14ac:dyDescent="0.3">
      <c r="A202">
        <v>1</v>
      </c>
      <c r="B202" s="1" t="s">
        <v>7</v>
      </c>
      <c r="C202">
        <v>50</v>
      </c>
      <c r="D202">
        <v>3600</v>
      </c>
      <c r="E202">
        <v>8.1290000525768846E-4</v>
      </c>
      <c r="F202">
        <v>0</v>
      </c>
      <c r="G202" t="b">
        <v>0</v>
      </c>
    </row>
    <row r="203" spans="1:7" x14ac:dyDescent="0.3">
      <c r="A203">
        <v>1</v>
      </c>
      <c r="B203" s="1" t="s">
        <v>8</v>
      </c>
      <c r="C203">
        <v>50</v>
      </c>
      <c r="D203">
        <v>3600</v>
      </c>
      <c r="G203" t="b">
        <v>1</v>
      </c>
    </row>
    <row r="204" spans="1:7" x14ac:dyDescent="0.3">
      <c r="A204">
        <v>1</v>
      </c>
      <c r="B204" s="1" t="s">
        <v>9</v>
      </c>
      <c r="C204">
        <v>50</v>
      </c>
      <c r="D204">
        <v>3600</v>
      </c>
      <c r="E204">
        <v>7.1570200001588091E-2</v>
      </c>
      <c r="F204">
        <v>0</v>
      </c>
      <c r="G204" t="b">
        <v>0</v>
      </c>
    </row>
    <row r="205" spans="1:7" x14ac:dyDescent="0.3">
      <c r="A205">
        <v>1</v>
      </c>
      <c r="B205" s="1" t="s">
        <v>10</v>
      </c>
      <c r="C205">
        <v>50</v>
      </c>
      <c r="D205">
        <v>3600</v>
      </c>
      <c r="E205">
        <v>3.1065300005138852E-2</v>
      </c>
      <c r="F205">
        <v>0</v>
      </c>
      <c r="G205" t="b">
        <v>0</v>
      </c>
    </row>
    <row r="206" spans="1:7" x14ac:dyDescent="0.3">
      <c r="A206">
        <v>1</v>
      </c>
      <c r="B206" s="1" t="s">
        <v>7</v>
      </c>
      <c r="C206">
        <v>100</v>
      </c>
      <c r="D206">
        <v>3600</v>
      </c>
      <c r="E206">
        <v>7.1259999822359532E-4</v>
      </c>
      <c r="F206">
        <v>0</v>
      </c>
      <c r="G206" t="b">
        <v>0</v>
      </c>
    </row>
    <row r="207" spans="1:7" x14ac:dyDescent="0.3">
      <c r="A207">
        <v>1</v>
      </c>
      <c r="B207" s="1" t="s">
        <v>8</v>
      </c>
      <c r="C207">
        <v>100</v>
      </c>
      <c r="D207">
        <v>3600</v>
      </c>
      <c r="G207" t="b">
        <v>1</v>
      </c>
    </row>
    <row r="208" spans="1:7" x14ac:dyDescent="0.3">
      <c r="A208">
        <v>1</v>
      </c>
      <c r="B208" s="1" t="s">
        <v>9</v>
      </c>
      <c r="C208">
        <v>100</v>
      </c>
      <c r="D208">
        <v>3600</v>
      </c>
      <c r="E208">
        <v>0.34359039999253582</v>
      </c>
      <c r="F208">
        <v>0</v>
      </c>
      <c r="G208" t="b">
        <v>0</v>
      </c>
    </row>
    <row r="209" spans="1:7" x14ac:dyDescent="0.3">
      <c r="A209">
        <v>1</v>
      </c>
      <c r="B209" s="1" t="s">
        <v>10</v>
      </c>
      <c r="C209">
        <v>100</v>
      </c>
      <c r="D209">
        <v>3600</v>
      </c>
      <c r="E209">
        <v>6.7208300009951927E-2</v>
      </c>
      <c r="F209">
        <v>0</v>
      </c>
      <c r="G209" t="b">
        <v>0</v>
      </c>
    </row>
    <row r="210" spans="1:7" x14ac:dyDescent="0.3">
      <c r="A210">
        <v>1</v>
      </c>
      <c r="B210" s="1" t="s">
        <v>7</v>
      </c>
      <c r="C210">
        <v>200</v>
      </c>
      <c r="D210">
        <v>3600</v>
      </c>
      <c r="E210">
        <v>3.4270000469405204E-4</v>
      </c>
      <c r="F210">
        <v>0</v>
      </c>
      <c r="G210" t="b">
        <v>0</v>
      </c>
    </row>
    <row r="211" spans="1:7" x14ac:dyDescent="0.3">
      <c r="A211">
        <v>1</v>
      </c>
      <c r="B211" s="1" t="s">
        <v>8</v>
      </c>
      <c r="C211">
        <v>200</v>
      </c>
      <c r="D211">
        <v>3600</v>
      </c>
      <c r="G211" t="b">
        <v>1</v>
      </c>
    </row>
    <row r="212" spans="1:7" x14ac:dyDescent="0.3">
      <c r="A212">
        <v>1</v>
      </c>
      <c r="B212" s="1" t="s">
        <v>9</v>
      </c>
      <c r="C212">
        <v>200</v>
      </c>
      <c r="D212">
        <v>3600</v>
      </c>
      <c r="E212">
        <v>0.42859429999953136</v>
      </c>
      <c r="F212">
        <v>0</v>
      </c>
      <c r="G212" t="b">
        <v>0</v>
      </c>
    </row>
    <row r="213" spans="1:7" x14ac:dyDescent="0.3">
      <c r="A213">
        <v>1</v>
      </c>
      <c r="B213" s="1" t="s">
        <v>10</v>
      </c>
      <c r="C213">
        <v>200</v>
      </c>
      <c r="D213">
        <v>3600</v>
      </c>
      <c r="E213">
        <v>0.13340320000133943</v>
      </c>
      <c r="F213">
        <v>0</v>
      </c>
      <c r="G213" t="b">
        <v>0</v>
      </c>
    </row>
    <row r="214" spans="1:7" x14ac:dyDescent="0.3">
      <c r="A214">
        <v>1</v>
      </c>
      <c r="B214" s="1" t="s">
        <v>7</v>
      </c>
      <c r="C214">
        <v>400</v>
      </c>
      <c r="D214">
        <v>3600</v>
      </c>
      <c r="E214">
        <v>2.2050000552553684E-4</v>
      </c>
      <c r="F214">
        <v>0</v>
      </c>
      <c r="G214" t="b">
        <v>0</v>
      </c>
    </row>
    <row r="215" spans="1:7" x14ac:dyDescent="0.3">
      <c r="A215">
        <v>1</v>
      </c>
      <c r="B215" s="1" t="s">
        <v>8</v>
      </c>
      <c r="C215">
        <v>400</v>
      </c>
      <c r="D215">
        <v>3600</v>
      </c>
      <c r="G215" t="b">
        <v>1</v>
      </c>
    </row>
    <row r="216" spans="1:7" x14ac:dyDescent="0.3">
      <c r="A216">
        <v>1</v>
      </c>
      <c r="B216" s="1" t="s">
        <v>9</v>
      </c>
      <c r="C216">
        <v>400</v>
      </c>
      <c r="D216">
        <v>3600</v>
      </c>
      <c r="E216">
        <v>1.1434004999900935</v>
      </c>
      <c r="F216">
        <v>0</v>
      </c>
      <c r="G216" t="b">
        <v>0</v>
      </c>
    </row>
    <row r="217" spans="1:7" x14ac:dyDescent="0.3">
      <c r="A217">
        <v>1</v>
      </c>
      <c r="B217" s="1" t="s">
        <v>10</v>
      </c>
      <c r="C217">
        <v>400</v>
      </c>
      <c r="D217">
        <v>3600</v>
      </c>
      <c r="E217">
        <v>0.3233322999876691</v>
      </c>
      <c r="F217">
        <v>0</v>
      </c>
      <c r="G217" t="b">
        <v>0</v>
      </c>
    </row>
    <row r="218" spans="1:7" x14ac:dyDescent="0.3">
      <c r="A218">
        <v>1</v>
      </c>
      <c r="B218" s="1" t="s">
        <v>7</v>
      </c>
      <c r="C218">
        <v>10</v>
      </c>
      <c r="D218">
        <v>7200</v>
      </c>
      <c r="E218">
        <v>1.889999839477241E-5</v>
      </c>
      <c r="F218">
        <v>4783</v>
      </c>
      <c r="G218" t="b">
        <v>0</v>
      </c>
    </row>
    <row r="219" spans="1:7" x14ac:dyDescent="0.3">
      <c r="A219">
        <v>1</v>
      </c>
      <c r="B219" s="1" t="s">
        <v>8</v>
      </c>
      <c r="C219">
        <v>10</v>
      </c>
      <c r="D219">
        <v>7200</v>
      </c>
      <c r="E219">
        <v>5.5480000446550548E-4</v>
      </c>
      <c r="F219">
        <v>4783</v>
      </c>
      <c r="G219" t="b">
        <v>0</v>
      </c>
    </row>
    <row r="220" spans="1:7" x14ac:dyDescent="0.3">
      <c r="A220">
        <v>1</v>
      </c>
      <c r="B220" s="1" t="s">
        <v>9</v>
      </c>
      <c r="C220">
        <v>10</v>
      </c>
      <c r="D220">
        <v>7200</v>
      </c>
      <c r="E220">
        <v>5.6660000700503588E-4</v>
      </c>
      <c r="F220">
        <v>4782</v>
      </c>
      <c r="G220" t="b">
        <v>0</v>
      </c>
    </row>
    <row r="221" spans="1:7" x14ac:dyDescent="0.3">
      <c r="A221">
        <v>1</v>
      </c>
      <c r="B221" s="1" t="s">
        <v>10</v>
      </c>
      <c r="C221">
        <v>10</v>
      </c>
      <c r="D221">
        <v>7200</v>
      </c>
      <c r="E221">
        <v>5.3249999473337084E-4</v>
      </c>
      <c r="F221">
        <v>4782</v>
      </c>
      <c r="G221" t="b">
        <v>0</v>
      </c>
    </row>
    <row r="222" spans="1:7" x14ac:dyDescent="0.3">
      <c r="A222">
        <v>1</v>
      </c>
      <c r="B222" s="1" t="s">
        <v>7</v>
      </c>
      <c r="C222">
        <v>30</v>
      </c>
      <c r="D222">
        <v>7200</v>
      </c>
      <c r="G222" t="b">
        <v>1</v>
      </c>
    </row>
    <row r="223" spans="1:7" x14ac:dyDescent="0.3">
      <c r="A223">
        <v>1</v>
      </c>
      <c r="B223" s="1" t="s">
        <v>8</v>
      </c>
      <c r="C223">
        <v>30</v>
      </c>
      <c r="D223">
        <v>7200</v>
      </c>
      <c r="G223" t="b">
        <v>1</v>
      </c>
    </row>
    <row r="224" spans="1:7" x14ac:dyDescent="0.3">
      <c r="A224">
        <v>1</v>
      </c>
      <c r="B224" s="1" t="s">
        <v>9</v>
      </c>
      <c r="C224">
        <v>30</v>
      </c>
      <c r="D224">
        <v>7200</v>
      </c>
      <c r="E224">
        <v>4.2534899999736808E-2</v>
      </c>
      <c r="F224">
        <v>24</v>
      </c>
      <c r="G224" t="b">
        <v>0</v>
      </c>
    </row>
    <row r="225" spans="1:7" x14ac:dyDescent="0.3">
      <c r="A225">
        <v>1</v>
      </c>
      <c r="B225" s="1" t="s">
        <v>10</v>
      </c>
      <c r="C225">
        <v>30</v>
      </c>
      <c r="D225">
        <v>7200</v>
      </c>
      <c r="E225">
        <v>1.7455399996833876E-2</v>
      </c>
      <c r="F225">
        <v>0</v>
      </c>
      <c r="G225" t="b">
        <v>0</v>
      </c>
    </row>
    <row r="226" spans="1:7" x14ac:dyDescent="0.3">
      <c r="A226">
        <v>1</v>
      </c>
      <c r="B226" s="1" t="s">
        <v>7</v>
      </c>
      <c r="C226">
        <v>50</v>
      </c>
      <c r="D226">
        <v>7200</v>
      </c>
      <c r="E226">
        <v>6.5999993239529431E-5</v>
      </c>
      <c r="F226">
        <v>0</v>
      </c>
      <c r="G226" t="b">
        <v>0</v>
      </c>
    </row>
    <row r="227" spans="1:7" x14ac:dyDescent="0.3">
      <c r="A227">
        <v>1</v>
      </c>
      <c r="B227" s="1" t="s">
        <v>8</v>
      </c>
      <c r="C227">
        <v>50</v>
      </c>
      <c r="D227">
        <v>7200</v>
      </c>
      <c r="G227" t="b">
        <v>1</v>
      </c>
    </row>
    <row r="228" spans="1:7" x14ac:dyDescent="0.3">
      <c r="A228">
        <v>1</v>
      </c>
      <c r="B228" s="1" t="s">
        <v>9</v>
      </c>
      <c r="C228">
        <v>50</v>
      </c>
      <c r="D228">
        <v>7200</v>
      </c>
      <c r="E228">
        <v>0.16530780000903178</v>
      </c>
      <c r="F228">
        <v>0</v>
      </c>
      <c r="G228" t="b">
        <v>0</v>
      </c>
    </row>
    <row r="229" spans="1:7" x14ac:dyDescent="0.3">
      <c r="A229">
        <v>1</v>
      </c>
      <c r="B229" s="1" t="s">
        <v>10</v>
      </c>
      <c r="C229">
        <v>50</v>
      </c>
      <c r="D229">
        <v>7200</v>
      </c>
      <c r="E229">
        <v>7.3383800001465715E-2</v>
      </c>
      <c r="F229">
        <v>0</v>
      </c>
      <c r="G229" t="b">
        <v>0</v>
      </c>
    </row>
    <row r="230" spans="1:7" x14ac:dyDescent="0.3">
      <c r="A230">
        <v>1</v>
      </c>
      <c r="B230" s="1" t="s">
        <v>7</v>
      </c>
      <c r="C230">
        <v>100</v>
      </c>
      <c r="D230">
        <v>7200</v>
      </c>
      <c r="E230">
        <v>2.1720000950153917E-4</v>
      </c>
      <c r="F230">
        <v>0</v>
      </c>
      <c r="G230" t="b">
        <v>0</v>
      </c>
    </row>
    <row r="231" spans="1:7" x14ac:dyDescent="0.3">
      <c r="A231">
        <v>1</v>
      </c>
      <c r="B231" s="1" t="s">
        <v>8</v>
      </c>
      <c r="C231">
        <v>100</v>
      </c>
      <c r="D231">
        <v>7200</v>
      </c>
      <c r="G231" t="b">
        <v>1</v>
      </c>
    </row>
    <row r="232" spans="1:7" x14ac:dyDescent="0.3">
      <c r="A232">
        <v>1</v>
      </c>
      <c r="B232" s="1" t="s">
        <v>9</v>
      </c>
      <c r="C232">
        <v>100</v>
      </c>
      <c r="D232">
        <v>7200</v>
      </c>
      <c r="E232">
        <v>0.62735880000400357</v>
      </c>
      <c r="F232">
        <v>0</v>
      </c>
      <c r="G232" t="b">
        <v>0</v>
      </c>
    </row>
    <row r="233" spans="1:7" x14ac:dyDescent="0.3">
      <c r="A233">
        <v>1</v>
      </c>
      <c r="B233" s="1" t="s">
        <v>10</v>
      </c>
      <c r="C233">
        <v>100</v>
      </c>
      <c r="D233">
        <v>7200</v>
      </c>
      <c r="E233">
        <v>0.21641209999506827</v>
      </c>
      <c r="F233">
        <v>0</v>
      </c>
      <c r="G233" t="b">
        <v>0</v>
      </c>
    </row>
    <row r="234" spans="1:7" x14ac:dyDescent="0.3">
      <c r="A234">
        <v>1</v>
      </c>
      <c r="B234" s="1" t="s">
        <v>7</v>
      </c>
      <c r="C234">
        <v>200</v>
      </c>
      <c r="D234">
        <v>7200</v>
      </c>
      <c r="E234">
        <v>4.6460000157821923E-4</v>
      </c>
      <c r="F234">
        <v>0</v>
      </c>
      <c r="G234" t="b">
        <v>0</v>
      </c>
    </row>
    <row r="235" spans="1:7" x14ac:dyDescent="0.3">
      <c r="A235">
        <v>1</v>
      </c>
      <c r="B235" s="1" t="s">
        <v>8</v>
      </c>
      <c r="C235">
        <v>200</v>
      </c>
      <c r="D235">
        <v>7200</v>
      </c>
      <c r="G235" t="b">
        <v>1</v>
      </c>
    </row>
    <row r="236" spans="1:7" x14ac:dyDescent="0.3">
      <c r="A236">
        <v>1</v>
      </c>
      <c r="B236" s="1" t="s">
        <v>9</v>
      </c>
      <c r="C236">
        <v>200</v>
      </c>
      <c r="D236">
        <v>7200</v>
      </c>
      <c r="E236">
        <v>1.2961281000025338</v>
      </c>
      <c r="F236">
        <v>0</v>
      </c>
      <c r="G236" t="b">
        <v>0</v>
      </c>
    </row>
    <row r="237" spans="1:7" x14ac:dyDescent="0.3">
      <c r="A237">
        <v>1</v>
      </c>
      <c r="B237" s="1" t="s">
        <v>10</v>
      </c>
      <c r="C237">
        <v>200</v>
      </c>
      <c r="D237">
        <v>7200</v>
      </c>
      <c r="E237">
        <v>0.67888750000565778</v>
      </c>
      <c r="F237">
        <v>0</v>
      </c>
      <c r="G237" t="b">
        <v>0</v>
      </c>
    </row>
    <row r="238" spans="1:7" x14ac:dyDescent="0.3">
      <c r="A238">
        <v>1</v>
      </c>
      <c r="B238" s="1" t="s">
        <v>7</v>
      </c>
      <c r="C238">
        <v>400</v>
      </c>
      <c r="D238">
        <v>7200</v>
      </c>
      <c r="E238">
        <v>1.6392000106861815E-3</v>
      </c>
      <c r="F238">
        <v>0</v>
      </c>
      <c r="G238" t="b">
        <v>0</v>
      </c>
    </row>
    <row r="239" spans="1:7" x14ac:dyDescent="0.3">
      <c r="A239">
        <v>1</v>
      </c>
      <c r="B239" s="1" t="s">
        <v>8</v>
      </c>
      <c r="C239">
        <v>400</v>
      </c>
      <c r="D239">
        <v>7200</v>
      </c>
      <c r="G239" t="b">
        <v>1</v>
      </c>
    </row>
    <row r="240" spans="1:7" x14ac:dyDescent="0.3">
      <c r="A240">
        <v>1</v>
      </c>
      <c r="B240" s="1" t="s">
        <v>9</v>
      </c>
      <c r="C240">
        <v>400</v>
      </c>
      <c r="D240">
        <v>7200</v>
      </c>
      <c r="E240">
        <v>3.7174423999967985</v>
      </c>
      <c r="F240">
        <v>0</v>
      </c>
      <c r="G240" t="b">
        <v>0</v>
      </c>
    </row>
    <row r="241" spans="1:7" x14ac:dyDescent="0.3">
      <c r="A241">
        <v>1</v>
      </c>
      <c r="B241" s="1" t="s">
        <v>10</v>
      </c>
      <c r="C241">
        <v>400</v>
      </c>
      <c r="D241">
        <v>7200</v>
      </c>
      <c r="E241">
        <v>0.96811290000914596</v>
      </c>
      <c r="F241">
        <v>0</v>
      </c>
      <c r="G241" t="b">
        <v>0</v>
      </c>
    </row>
    <row r="242" spans="1:7" x14ac:dyDescent="0.3">
      <c r="A242">
        <v>2</v>
      </c>
      <c r="B242" s="1" t="s">
        <v>7</v>
      </c>
      <c r="C242">
        <v>10</v>
      </c>
      <c r="D242">
        <v>300</v>
      </c>
      <c r="G242" t="b">
        <v>1</v>
      </c>
    </row>
    <row r="243" spans="1:7" x14ac:dyDescent="0.3">
      <c r="A243">
        <v>2</v>
      </c>
      <c r="B243" s="1" t="s">
        <v>8</v>
      </c>
      <c r="C243">
        <v>10</v>
      </c>
      <c r="D243">
        <v>300</v>
      </c>
      <c r="E243">
        <v>1.0059999476652592E-4</v>
      </c>
      <c r="F243">
        <v>7</v>
      </c>
      <c r="G243" t="b">
        <v>0</v>
      </c>
    </row>
    <row r="244" spans="1:7" x14ac:dyDescent="0.3">
      <c r="A244">
        <v>2</v>
      </c>
      <c r="B244" s="1" t="s">
        <v>9</v>
      </c>
      <c r="C244">
        <v>10</v>
      </c>
      <c r="D244">
        <v>300</v>
      </c>
      <c r="E244">
        <v>4.2899991967715323E-5</v>
      </c>
      <c r="F244">
        <v>7</v>
      </c>
      <c r="G244" t="b">
        <v>0</v>
      </c>
    </row>
    <row r="245" spans="1:7" x14ac:dyDescent="0.3">
      <c r="A245">
        <v>2</v>
      </c>
      <c r="B245" s="1" t="s">
        <v>10</v>
      </c>
      <c r="C245">
        <v>10</v>
      </c>
      <c r="D245">
        <v>300</v>
      </c>
      <c r="E245">
        <v>3.6299999919719994E-5</v>
      </c>
      <c r="F245">
        <v>7</v>
      </c>
      <c r="G245" t="b">
        <v>0</v>
      </c>
    </row>
    <row r="246" spans="1:7" x14ac:dyDescent="0.3">
      <c r="A246">
        <v>2</v>
      </c>
      <c r="B246" s="1" t="s">
        <v>7</v>
      </c>
      <c r="C246">
        <v>30</v>
      </c>
      <c r="D246">
        <v>300</v>
      </c>
      <c r="G246" t="b">
        <v>1</v>
      </c>
    </row>
    <row r="247" spans="1:7" x14ac:dyDescent="0.3">
      <c r="A247">
        <v>2</v>
      </c>
      <c r="B247" s="1" t="s">
        <v>8</v>
      </c>
      <c r="C247">
        <v>30</v>
      </c>
      <c r="D247">
        <v>300</v>
      </c>
      <c r="E247">
        <v>2.3185999889392406E-3</v>
      </c>
      <c r="F247">
        <v>0</v>
      </c>
      <c r="G247" t="b">
        <v>0</v>
      </c>
    </row>
    <row r="248" spans="1:7" x14ac:dyDescent="0.3">
      <c r="A248">
        <v>2</v>
      </c>
      <c r="B248" s="1" t="s">
        <v>9</v>
      </c>
      <c r="C248">
        <v>30</v>
      </c>
      <c r="D248">
        <v>300</v>
      </c>
      <c r="E248">
        <v>2.7589999081101269E-4</v>
      </c>
      <c r="F248">
        <v>0</v>
      </c>
      <c r="G248" t="b">
        <v>0</v>
      </c>
    </row>
    <row r="249" spans="1:7" x14ac:dyDescent="0.3">
      <c r="A249">
        <v>2</v>
      </c>
      <c r="B249" s="1" t="s">
        <v>10</v>
      </c>
      <c r="C249">
        <v>30</v>
      </c>
      <c r="D249">
        <v>300</v>
      </c>
      <c r="E249">
        <v>2.7260000933893025E-4</v>
      </c>
      <c r="F249">
        <v>0</v>
      </c>
      <c r="G249" t="b">
        <v>0</v>
      </c>
    </row>
    <row r="250" spans="1:7" x14ac:dyDescent="0.3">
      <c r="A250">
        <v>2</v>
      </c>
      <c r="B250" s="1" t="s">
        <v>7</v>
      </c>
      <c r="C250">
        <v>50</v>
      </c>
      <c r="D250">
        <v>300</v>
      </c>
      <c r="G250" t="b">
        <v>1</v>
      </c>
    </row>
    <row r="251" spans="1:7" x14ac:dyDescent="0.3">
      <c r="A251">
        <v>2</v>
      </c>
      <c r="B251" s="1" t="s">
        <v>8</v>
      </c>
      <c r="C251">
        <v>50</v>
      </c>
      <c r="D251">
        <v>300</v>
      </c>
      <c r="E251">
        <v>4.2757200004416518E-2</v>
      </c>
      <c r="F251">
        <v>0</v>
      </c>
      <c r="G251" t="b">
        <v>0</v>
      </c>
    </row>
    <row r="252" spans="1:7" x14ac:dyDescent="0.3">
      <c r="A252">
        <v>2</v>
      </c>
      <c r="B252" s="1" t="s">
        <v>9</v>
      </c>
      <c r="C252">
        <v>50</v>
      </c>
      <c r="D252">
        <v>300</v>
      </c>
      <c r="E252">
        <v>9.2889998632017523E-4</v>
      </c>
      <c r="F252">
        <v>0</v>
      </c>
      <c r="G252" t="b">
        <v>0</v>
      </c>
    </row>
    <row r="253" spans="1:7" x14ac:dyDescent="0.3">
      <c r="A253">
        <v>2</v>
      </c>
      <c r="B253" s="1" t="s">
        <v>10</v>
      </c>
      <c r="C253">
        <v>50</v>
      </c>
      <c r="D253">
        <v>300</v>
      </c>
      <c r="E253">
        <v>5.9670000337064266E-4</v>
      </c>
      <c r="F253">
        <v>0</v>
      </c>
      <c r="G253" t="b">
        <v>0</v>
      </c>
    </row>
    <row r="254" spans="1:7" x14ac:dyDescent="0.3">
      <c r="A254">
        <v>2</v>
      </c>
      <c r="B254" s="1" t="s">
        <v>7</v>
      </c>
      <c r="C254">
        <v>100</v>
      </c>
      <c r="D254">
        <v>300</v>
      </c>
      <c r="G254" t="b">
        <v>1</v>
      </c>
    </row>
    <row r="255" spans="1:7" x14ac:dyDescent="0.3">
      <c r="A255">
        <v>2</v>
      </c>
      <c r="B255" s="1" t="s">
        <v>8</v>
      </c>
      <c r="C255">
        <v>100</v>
      </c>
      <c r="D255">
        <v>300</v>
      </c>
      <c r="E255">
        <v>0.32438479999837</v>
      </c>
      <c r="F255">
        <v>0</v>
      </c>
      <c r="G255" t="b">
        <v>0</v>
      </c>
    </row>
    <row r="256" spans="1:7" x14ac:dyDescent="0.3">
      <c r="A256">
        <v>2</v>
      </c>
      <c r="B256" s="1" t="s">
        <v>9</v>
      </c>
      <c r="C256">
        <v>100</v>
      </c>
      <c r="D256">
        <v>300</v>
      </c>
      <c r="E256">
        <v>3.6512999940896407E-3</v>
      </c>
      <c r="F256">
        <v>0</v>
      </c>
      <c r="G256" t="b">
        <v>0</v>
      </c>
    </row>
    <row r="257" spans="1:7" x14ac:dyDescent="0.3">
      <c r="A257">
        <v>2</v>
      </c>
      <c r="B257" s="1" t="s">
        <v>10</v>
      </c>
      <c r="C257">
        <v>100</v>
      </c>
      <c r="D257">
        <v>300</v>
      </c>
      <c r="E257">
        <v>1.3410000101430342E-3</v>
      </c>
      <c r="F257">
        <v>0</v>
      </c>
      <c r="G257" t="b">
        <v>0</v>
      </c>
    </row>
    <row r="258" spans="1:7" x14ac:dyDescent="0.3">
      <c r="A258">
        <v>2</v>
      </c>
      <c r="B258" s="1" t="s">
        <v>7</v>
      </c>
      <c r="C258">
        <v>200</v>
      </c>
      <c r="D258">
        <v>300</v>
      </c>
      <c r="E258">
        <v>1.2740999954985455E-3</v>
      </c>
      <c r="F258">
        <v>0</v>
      </c>
      <c r="G258" t="b">
        <v>0</v>
      </c>
    </row>
    <row r="259" spans="1:7" x14ac:dyDescent="0.3">
      <c r="A259">
        <v>2</v>
      </c>
      <c r="B259" s="1" t="s">
        <v>8</v>
      </c>
      <c r="C259">
        <v>200</v>
      </c>
      <c r="D259">
        <v>300</v>
      </c>
      <c r="G259" t="b">
        <v>1</v>
      </c>
    </row>
    <row r="260" spans="1:7" x14ac:dyDescent="0.3">
      <c r="A260">
        <v>2</v>
      </c>
      <c r="B260" s="1" t="s">
        <v>9</v>
      </c>
      <c r="C260">
        <v>200</v>
      </c>
      <c r="D260">
        <v>300</v>
      </c>
      <c r="E260">
        <v>6.5771000081440434E-3</v>
      </c>
      <c r="F260">
        <v>0</v>
      </c>
      <c r="G260" t="b">
        <v>0</v>
      </c>
    </row>
    <row r="261" spans="1:7" x14ac:dyDescent="0.3">
      <c r="A261">
        <v>2</v>
      </c>
      <c r="B261" s="1" t="s">
        <v>10</v>
      </c>
      <c r="C261">
        <v>200</v>
      </c>
      <c r="D261">
        <v>300</v>
      </c>
      <c r="E261">
        <v>3.5300999879837036E-3</v>
      </c>
      <c r="F261">
        <v>0</v>
      </c>
      <c r="G261" t="b">
        <v>0</v>
      </c>
    </row>
    <row r="262" spans="1:7" x14ac:dyDescent="0.3">
      <c r="A262">
        <v>2</v>
      </c>
      <c r="B262" s="1" t="s">
        <v>7</v>
      </c>
      <c r="C262">
        <v>400</v>
      </c>
      <c r="D262">
        <v>300</v>
      </c>
      <c r="E262">
        <v>9.5999988843686879E-5</v>
      </c>
      <c r="F262">
        <v>0</v>
      </c>
      <c r="G262" t="b">
        <v>0</v>
      </c>
    </row>
    <row r="263" spans="1:7" x14ac:dyDescent="0.3">
      <c r="A263">
        <v>2</v>
      </c>
      <c r="B263" s="1" t="s">
        <v>8</v>
      </c>
      <c r="C263">
        <v>400</v>
      </c>
      <c r="D263">
        <v>300</v>
      </c>
      <c r="G263" t="b">
        <v>1</v>
      </c>
    </row>
    <row r="264" spans="1:7" x14ac:dyDescent="0.3">
      <c r="A264">
        <v>2</v>
      </c>
      <c r="B264" s="1" t="s">
        <v>9</v>
      </c>
      <c r="C264">
        <v>400</v>
      </c>
      <c r="D264">
        <v>300</v>
      </c>
      <c r="E264">
        <v>1.4741099992534146E-2</v>
      </c>
      <c r="F264">
        <v>0</v>
      </c>
      <c r="G264" t="b">
        <v>0</v>
      </c>
    </row>
    <row r="265" spans="1:7" x14ac:dyDescent="0.3">
      <c r="A265">
        <v>2</v>
      </c>
      <c r="B265" s="1" t="s">
        <v>10</v>
      </c>
      <c r="C265">
        <v>400</v>
      </c>
      <c r="D265">
        <v>300</v>
      </c>
      <c r="E265">
        <v>9.9153000046499074E-3</v>
      </c>
      <c r="F265">
        <v>0</v>
      </c>
      <c r="G265" t="b">
        <v>0</v>
      </c>
    </row>
    <row r="266" spans="1:7" x14ac:dyDescent="0.3">
      <c r="A266">
        <v>2</v>
      </c>
      <c r="B266" s="1" t="s">
        <v>7</v>
      </c>
      <c r="C266">
        <v>10</v>
      </c>
      <c r="D266">
        <v>600</v>
      </c>
      <c r="G266" t="b">
        <v>1</v>
      </c>
    </row>
    <row r="267" spans="1:7" x14ac:dyDescent="0.3">
      <c r="A267">
        <v>2</v>
      </c>
      <c r="B267" s="1" t="s">
        <v>8</v>
      </c>
      <c r="C267">
        <v>10</v>
      </c>
      <c r="D267">
        <v>600</v>
      </c>
      <c r="E267">
        <v>2.0679998851846904E-4</v>
      </c>
      <c r="F267">
        <v>1</v>
      </c>
      <c r="G267" t="b">
        <v>0</v>
      </c>
    </row>
    <row r="268" spans="1:7" x14ac:dyDescent="0.3">
      <c r="A268">
        <v>2</v>
      </c>
      <c r="B268" s="1" t="s">
        <v>9</v>
      </c>
      <c r="C268">
        <v>10</v>
      </c>
      <c r="D268">
        <v>600</v>
      </c>
      <c r="E268">
        <v>1.0160000238101929E-4</v>
      </c>
      <c r="F268">
        <v>1</v>
      </c>
      <c r="G268" t="b">
        <v>0</v>
      </c>
    </row>
    <row r="269" spans="1:7" x14ac:dyDescent="0.3">
      <c r="A269">
        <v>2</v>
      </c>
      <c r="B269" s="1" t="s">
        <v>10</v>
      </c>
      <c r="C269">
        <v>10</v>
      </c>
      <c r="D269">
        <v>600</v>
      </c>
      <c r="E269">
        <v>7.6299998909235001E-5</v>
      </c>
      <c r="F269">
        <v>1</v>
      </c>
      <c r="G269" t="b">
        <v>0</v>
      </c>
    </row>
    <row r="270" spans="1:7" x14ac:dyDescent="0.3">
      <c r="A270">
        <v>2</v>
      </c>
      <c r="B270" s="1" t="s">
        <v>7</v>
      </c>
      <c r="C270">
        <v>30</v>
      </c>
      <c r="D270">
        <v>600</v>
      </c>
      <c r="G270" t="b">
        <v>1</v>
      </c>
    </row>
    <row r="271" spans="1:7" x14ac:dyDescent="0.3">
      <c r="A271">
        <v>2</v>
      </c>
      <c r="B271" s="1" t="s">
        <v>8</v>
      </c>
      <c r="C271">
        <v>30</v>
      </c>
      <c r="D271">
        <v>600</v>
      </c>
      <c r="E271">
        <v>2.1591099997749552E-2</v>
      </c>
      <c r="F271">
        <v>0</v>
      </c>
      <c r="G271" t="b">
        <v>0</v>
      </c>
    </row>
    <row r="272" spans="1:7" x14ac:dyDescent="0.3">
      <c r="A272">
        <v>2</v>
      </c>
      <c r="B272" s="1" t="s">
        <v>9</v>
      </c>
      <c r="C272">
        <v>30</v>
      </c>
      <c r="D272">
        <v>600</v>
      </c>
      <c r="E272">
        <v>1.673800012213178E-3</v>
      </c>
      <c r="F272">
        <v>0</v>
      </c>
      <c r="G272" t="b">
        <v>0</v>
      </c>
    </row>
    <row r="273" spans="1:7" x14ac:dyDescent="0.3">
      <c r="A273">
        <v>2</v>
      </c>
      <c r="B273" s="1" t="s">
        <v>10</v>
      </c>
      <c r="C273">
        <v>30</v>
      </c>
      <c r="D273">
        <v>600</v>
      </c>
      <c r="E273">
        <v>8.9600001228973269E-4</v>
      </c>
      <c r="F273">
        <v>0</v>
      </c>
      <c r="G273" t="b">
        <v>0</v>
      </c>
    </row>
    <row r="274" spans="1:7" x14ac:dyDescent="0.3">
      <c r="A274">
        <v>2</v>
      </c>
      <c r="B274" s="1" t="s">
        <v>7</v>
      </c>
      <c r="C274">
        <v>50</v>
      </c>
      <c r="D274">
        <v>600</v>
      </c>
      <c r="G274" t="b">
        <v>1</v>
      </c>
    </row>
    <row r="275" spans="1:7" x14ac:dyDescent="0.3">
      <c r="A275">
        <v>2</v>
      </c>
      <c r="B275" s="1" t="s">
        <v>8</v>
      </c>
      <c r="C275">
        <v>50</v>
      </c>
      <c r="D275">
        <v>600</v>
      </c>
      <c r="E275">
        <v>0.39688390000083018</v>
      </c>
      <c r="F275">
        <v>0</v>
      </c>
      <c r="G275" t="b">
        <v>0</v>
      </c>
    </row>
    <row r="276" spans="1:7" x14ac:dyDescent="0.3">
      <c r="A276">
        <v>2</v>
      </c>
      <c r="B276" s="1" t="s">
        <v>9</v>
      </c>
      <c r="C276">
        <v>50</v>
      </c>
      <c r="D276">
        <v>600</v>
      </c>
      <c r="E276">
        <v>3.1042000045999885E-3</v>
      </c>
      <c r="F276">
        <v>0</v>
      </c>
      <c r="G276" t="b">
        <v>0</v>
      </c>
    </row>
    <row r="277" spans="1:7" x14ac:dyDescent="0.3">
      <c r="A277">
        <v>2</v>
      </c>
      <c r="B277" s="1" t="s">
        <v>10</v>
      </c>
      <c r="C277">
        <v>50</v>
      </c>
      <c r="D277">
        <v>600</v>
      </c>
      <c r="E277">
        <v>2.3314000136451796E-3</v>
      </c>
      <c r="F277">
        <v>0</v>
      </c>
      <c r="G277" t="b">
        <v>0</v>
      </c>
    </row>
    <row r="278" spans="1:7" x14ac:dyDescent="0.3">
      <c r="A278">
        <v>2</v>
      </c>
      <c r="B278" s="1" t="s">
        <v>7</v>
      </c>
      <c r="C278">
        <v>100</v>
      </c>
      <c r="D278">
        <v>600</v>
      </c>
      <c r="E278">
        <v>1.0678999999072403E-2</v>
      </c>
      <c r="F278">
        <v>0</v>
      </c>
      <c r="G278" t="b">
        <v>0</v>
      </c>
    </row>
    <row r="279" spans="1:7" x14ac:dyDescent="0.3">
      <c r="A279">
        <v>2</v>
      </c>
      <c r="B279" s="1" t="s">
        <v>8</v>
      </c>
      <c r="C279">
        <v>100</v>
      </c>
      <c r="D279">
        <v>600</v>
      </c>
      <c r="G279" t="b">
        <v>1</v>
      </c>
    </row>
    <row r="280" spans="1:7" x14ac:dyDescent="0.3">
      <c r="A280">
        <v>2</v>
      </c>
      <c r="B280" s="1" t="s">
        <v>9</v>
      </c>
      <c r="C280">
        <v>100</v>
      </c>
      <c r="D280">
        <v>600</v>
      </c>
      <c r="E280">
        <v>1.0615699997288175E-2</v>
      </c>
      <c r="F280">
        <v>0</v>
      </c>
      <c r="G280" t="b">
        <v>0</v>
      </c>
    </row>
    <row r="281" spans="1:7" x14ac:dyDescent="0.3">
      <c r="A281">
        <v>2</v>
      </c>
      <c r="B281" s="1" t="s">
        <v>10</v>
      </c>
      <c r="C281">
        <v>100</v>
      </c>
      <c r="D281">
        <v>600</v>
      </c>
      <c r="E281">
        <v>5.1126000034855679E-3</v>
      </c>
      <c r="F281">
        <v>0</v>
      </c>
      <c r="G281" t="b">
        <v>0</v>
      </c>
    </row>
    <row r="282" spans="1:7" x14ac:dyDescent="0.3">
      <c r="A282">
        <v>2</v>
      </c>
      <c r="B282" s="1" t="s">
        <v>7</v>
      </c>
      <c r="C282">
        <v>200</v>
      </c>
      <c r="D282">
        <v>600</v>
      </c>
      <c r="E282">
        <v>4.7137000074144453E-3</v>
      </c>
      <c r="F282">
        <v>0</v>
      </c>
      <c r="G282" t="b">
        <v>0</v>
      </c>
    </row>
    <row r="283" spans="1:7" x14ac:dyDescent="0.3">
      <c r="A283">
        <v>2</v>
      </c>
      <c r="B283" s="1" t="s">
        <v>8</v>
      </c>
      <c r="C283">
        <v>200</v>
      </c>
      <c r="D283">
        <v>600</v>
      </c>
      <c r="G283" t="b">
        <v>1</v>
      </c>
    </row>
    <row r="284" spans="1:7" x14ac:dyDescent="0.3">
      <c r="A284">
        <v>2</v>
      </c>
      <c r="B284" s="1" t="s">
        <v>9</v>
      </c>
      <c r="C284">
        <v>200</v>
      </c>
      <c r="D284">
        <v>600</v>
      </c>
      <c r="E284">
        <v>2.6756499995826744E-2</v>
      </c>
      <c r="F284">
        <v>0</v>
      </c>
      <c r="G284" t="b">
        <v>0</v>
      </c>
    </row>
    <row r="285" spans="1:7" x14ac:dyDescent="0.3">
      <c r="A285">
        <v>2</v>
      </c>
      <c r="B285" s="1" t="s">
        <v>10</v>
      </c>
      <c r="C285">
        <v>200</v>
      </c>
      <c r="D285">
        <v>600</v>
      </c>
      <c r="E285">
        <v>1.1136300003272481E-2</v>
      </c>
      <c r="F285">
        <v>0</v>
      </c>
      <c r="G285" t="b">
        <v>0</v>
      </c>
    </row>
    <row r="286" spans="1:7" x14ac:dyDescent="0.3">
      <c r="A286">
        <v>2</v>
      </c>
      <c r="B286" s="1" t="s">
        <v>7</v>
      </c>
      <c r="C286">
        <v>400</v>
      </c>
      <c r="D286">
        <v>600</v>
      </c>
      <c r="E286">
        <v>7.1770000795368105E-4</v>
      </c>
      <c r="F286">
        <v>0</v>
      </c>
      <c r="G286" t="b">
        <v>0</v>
      </c>
    </row>
    <row r="287" spans="1:7" x14ac:dyDescent="0.3">
      <c r="A287">
        <v>2</v>
      </c>
      <c r="B287" s="1" t="s">
        <v>8</v>
      </c>
      <c r="C287">
        <v>400</v>
      </c>
      <c r="D287">
        <v>600</v>
      </c>
      <c r="G287" t="b">
        <v>1</v>
      </c>
    </row>
    <row r="288" spans="1:7" x14ac:dyDescent="0.3">
      <c r="A288">
        <v>2</v>
      </c>
      <c r="B288" s="1" t="s">
        <v>9</v>
      </c>
      <c r="C288">
        <v>400</v>
      </c>
      <c r="D288">
        <v>600</v>
      </c>
      <c r="E288">
        <v>9.6106600001803599E-2</v>
      </c>
      <c r="F288">
        <v>0</v>
      </c>
      <c r="G288" t="b">
        <v>0</v>
      </c>
    </row>
    <row r="289" spans="1:7" x14ac:dyDescent="0.3">
      <c r="A289">
        <v>2</v>
      </c>
      <c r="B289" s="1" t="s">
        <v>10</v>
      </c>
      <c r="C289">
        <v>400</v>
      </c>
      <c r="D289">
        <v>600</v>
      </c>
      <c r="E289">
        <v>2.3996399992029183E-2</v>
      </c>
      <c r="F289">
        <v>0</v>
      </c>
      <c r="G289" t="b">
        <v>0</v>
      </c>
    </row>
    <row r="290" spans="1:7" x14ac:dyDescent="0.3">
      <c r="A290">
        <v>2</v>
      </c>
      <c r="B290" s="1" t="s">
        <v>7</v>
      </c>
      <c r="C290">
        <v>10</v>
      </c>
      <c r="D290">
        <v>1200</v>
      </c>
      <c r="G290" t="b">
        <v>1</v>
      </c>
    </row>
    <row r="291" spans="1:7" x14ac:dyDescent="0.3">
      <c r="A291">
        <v>2</v>
      </c>
      <c r="B291" s="1" t="s">
        <v>8</v>
      </c>
      <c r="C291">
        <v>10</v>
      </c>
      <c r="D291">
        <v>1200</v>
      </c>
      <c r="E291">
        <v>7.3489999340381473E-4</v>
      </c>
      <c r="F291">
        <v>0</v>
      </c>
      <c r="G291" t="b">
        <v>0</v>
      </c>
    </row>
    <row r="292" spans="1:7" x14ac:dyDescent="0.3">
      <c r="A292">
        <v>2</v>
      </c>
      <c r="B292" s="1" t="s">
        <v>9</v>
      </c>
      <c r="C292">
        <v>10</v>
      </c>
      <c r="D292">
        <v>1200</v>
      </c>
      <c r="E292">
        <v>4.0099999750964344E-4</v>
      </c>
      <c r="F292">
        <v>0</v>
      </c>
      <c r="G292" t="b">
        <v>0</v>
      </c>
    </row>
    <row r="293" spans="1:7" x14ac:dyDescent="0.3">
      <c r="A293">
        <v>2</v>
      </c>
      <c r="B293" s="1" t="s">
        <v>10</v>
      </c>
      <c r="C293">
        <v>10</v>
      </c>
      <c r="D293">
        <v>1200</v>
      </c>
      <c r="E293">
        <v>4.3810000352095813E-4</v>
      </c>
      <c r="F293">
        <v>0</v>
      </c>
      <c r="G293" t="b">
        <v>0</v>
      </c>
    </row>
    <row r="294" spans="1:7" x14ac:dyDescent="0.3">
      <c r="A294">
        <v>2</v>
      </c>
      <c r="B294" s="1" t="s">
        <v>7</v>
      </c>
      <c r="C294">
        <v>30</v>
      </c>
      <c r="D294">
        <v>1200</v>
      </c>
      <c r="E294">
        <v>2.6110000908374786E-4</v>
      </c>
      <c r="F294">
        <v>0</v>
      </c>
      <c r="G294" t="b">
        <v>0</v>
      </c>
    </row>
    <row r="295" spans="1:7" x14ac:dyDescent="0.3">
      <c r="A295">
        <v>2</v>
      </c>
      <c r="B295" s="1" t="s">
        <v>8</v>
      </c>
      <c r="C295">
        <v>30</v>
      </c>
      <c r="D295">
        <v>1200</v>
      </c>
      <c r="E295">
        <v>7.0573738999955822</v>
      </c>
      <c r="F295">
        <v>0</v>
      </c>
      <c r="G295" t="b">
        <v>0</v>
      </c>
    </row>
    <row r="296" spans="1:7" x14ac:dyDescent="0.3">
      <c r="A296">
        <v>2</v>
      </c>
      <c r="B296" s="1" t="s">
        <v>9</v>
      </c>
      <c r="C296">
        <v>30</v>
      </c>
      <c r="D296">
        <v>1200</v>
      </c>
      <c r="E296">
        <v>9.0800000034505501E-3</v>
      </c>
      <c r="F296">
        <v>0</v>
      </c>
      <c r="G296" t="b">
        <v>0</v>
      </c>
    </row>
    <row r="297" spans="1:7" x14ac:dyDescent="0.3">
      <c r="A297">
        <v>2</v>
      </c>
      <c r="B297" s="1" t="s">
        <v>10</v>
      </c>
      <c r="C297">
        <v>30</v>
      </c>
      <c r="D297">
        <v>1200</v>
      </c>
      <c r="E297">
        <v>3.0897000106051564E-3</v>
      </c>
      <c r="F297">
        <v>0</v>
      </c>
      <c r="G297" t="b">
        <v>0</v>
      </c>
    </row>
    <row r="298" spans="1:7" x14ac:dyDescent="0.3">
      <c r="A298">
        <v>2</v>
      </c>
      <c r="B298" s="1" t="s">
        <v>7</v>
      </c>
      <c r="C298">
        <v>50</v>
      </c>
      <c r="D298">
        <v>1200</v>
      </c>
      <c r="E298">
        <v>1.0900000052060932E-3</v>
      </c>
      <c r="F298">
        <v>0</v>
      </c>
      <c r="G298" t="b">
        <v>0</v>
      </c>
    </row>
    <row r="299" spans="1:7" x14ac:dyDescent="0.3">
      <c r="A299">
        <v>2</v>
      </c>
      <c r="B299" s="1" t="s">
        <v>8</v>
      </c>
      <c r="C299">
        <v>50</v>
      </c>
      <c r="D299">
        <v>1200</v>
      </c>
      <c r="G299" t="b">
        <v>1</v>
      </c>
    </row>
    <row r="300" spans="1:7" x14ac:dyDescent="0.3">
      <c r="A300">
        <v>2</v>
      </c>
      <c r="B300" s="1" t="s">
        <v>9</v>
      </c>
      <c r="C300">
        <v>50</v>
      </c>
      <c r="D300">
        <v>1200</v>
      </c>
      <c r="E300">
        <v>3.2336800009943545E-2</v>
      </c>
      <c r="F300">
        <v>0</v>
      </c>
      <c r="G300" t="b">
        <v>0</v>
      </c>
    </row>
    <row r="301" spans="1:7" x14ac:dyDescent="0.3">
      <c r="A301">
        <v>2</v>
      </c>
      <c r="B301" s="1" t="s">
        <v>10</v>
      </c>
      <c r="C301">
        <v>50</v>
      </c>
      <c r="D301">
        <v>1200</v>
      </c>
      <c r="E301">
        <v>6.375199998728931E-3</v>
      </c>
      <c r="F301">
        <v>0</v>
      </c>
      <c r="G301" t="b">
        <v>0</v>
      </c>
    </row>
    <row r="302" spans="1:7" x14ac:dyDescent="0.3">
      <c r="A302">
        <v>2</v>
      </c>
      <c r="B302" s="1" t="s">
        <v>7</v>
      </c>
      <c r="C302">
        <v>100</v>
      </c>
      <c r="D302">
        <v>1200</v>
      </c>
      <c r="E302">
        <v>2.0501000108197331E-3</v>
      </c>
      <c r="F302">
        <v>0</v>
      </c>
      <c r="G302" t="b">
        <v>0</v>
      </c>
    </row>
    <row r="303" spans="1:7" x14ac:dyDescent="0.3">
      <c r="A303">
        <v>2</v>
      </c>
      <c r="B303" s="1" t="s">
        <v>8</v>
      </c>
      <c r="C303">
        <v>100</v>
      </c>
      <c r="D303">
        <v>1200</v>
      </c>
      <c r="G303" t="b">
        <v>1</v>
      </c>
    </row>
    <row r="304" spans="1:7" x14ac:dyDescent="0.3">
      <c r="A304">
        <v>2</v>
      </c>
      <c r="B304" s="1" t="s">
        <v>9</v>
      </c>
      <c r="C304">
        <v>100</v>
      </c>
      <c r="D304">
        <v>1200</v>
      </c>
      <c r="E304">
        <v>4.1201100000762381E-2</v>
      </c>
      <c r="F304">
        <v>0</v>
      </c>
      <c r="G304" t="b">
        <v>0</v>
      </c>
    </row>
    <row r="305" spans="1:7" x14ac:dyDescent="0.3">
      <c r="A305">
        <v>2</v>
      </c>
      <c r="B305" s="1" t="s">
        <v>10</v>
      </c>
      <c r="C305">
        <v>100</v>
      </c>
      <c r="D305">
        <v>1200</v>
      </c>
      <c r="E305">
        <v>1.4512599998852238E-2</v>
      </c>
      <c r="F305">
        <v>0</v>
      </c>
      <c r="G305" t="b">
        <v>0</v>
      </c>
    </row>
    <row r="306" spans="1:7" x14ac:dyDescent="0.3">
      <c r="A306">
        <v>2</v>
      </c>
      <c r="B306" s="1" t="s">
        <v>7</v>
      </c>
      <c r="C306">
        <v>200</v>
      </c>
      <c r="D306">
        <v>1200</v>
      </c>
      <c r="E306">
        <v>5.4799999634269625E-4</v>
      </c>
      <c r="F306">
        <v>0</v>
      </c>
      <c r="G306" t="b">
        <v>0</v>
      </c>
    </row>
    <row r="307" spans="1:7" x14ac:dyDescent="0.3">
      <c r="A307">
        <v>2</v>
      </c>
      <c r="B307" s="1" t="s">
        <v>8</v>
      </c>
      <c r="C307">
        <v>200</v>
      </c>
      <c r="D307">
        <v>1200</v>
      </c>
      <c r="G307" t="b">
        <v>1</v>
      </c>
    </row>
    <row r="308" spans="1:7" x14ac:dyDescent="0.3">
      <c r="A308">
        <v>2</v>
      </c>
      <c r="B308" s="1" t="s">
        <v>9</v>
      </c>
      <c r="C308">
        <v>200</v>
      </c>
      <c r="D308">
        <v>1200</v>
      </c>
      <c r="E308">
        <v>9.7420899997814558E-2</v>
      </c>
      <c r="F308">
        <v>0</v>
      </c>
      <c r="G308" t="b">
        <v>0</v>
      </c>
    </row>
    <row r="309" spans="1:7" x14ac:dyDescent="0.3">
      <c r="A309">
        <v>2</v>
      </c>
      <c r="B309" s="1" t="s">
        <v>10</v>
      </c>
      <c r="C309">
        <v>200</v>
      </c>
      <c r="D309">
        <v>1200</v>
      </c>
      <c r="E309">
        <v>2.5314500002423301E-2</v>
      </c>
      <c r="F309">
        <v>0</v>
      </c>
      <c r="G309" t="b">
        <v>0</v>
      </c>
    </row>
    <row r="310" spans="1:7" x14ac:dyDescent="0.3">
      <c r="A310">
        <v>2</v>
      </c>
      <c r="B310" s="1" t="s">
        <v>7</v>
      </c>
      <c r="C310">
        <v>400</v>
      </c>
      <c r="D310">
        <v>1200</v>
      </c>
      <c r="E310">
        <v>8.9999999909196049E-4</v>
      </c>
      <c r="F310">
        <v>0</v>
      </c>
      <c r="G310" t="b">
        <v>0</v>
      </c>
    </row>
    <row r="311" spans="1:7" x14ac:dyDescent="0.3">
      <c r="A311">
        <v>2</v>
      </c>
      <c r="B311" s="1" t="s">
        <v>8</v>
      </c>
      <c r="C311">
        <v>400</v>
      </c>
      <c r="D311">
        <v>1200</v>
      </c>
      <c r="G311" t="b">
        <v>1</v>
      </c>
    </row>
    <row r="312" spans="1:7" x14ac:dyDescent="0.3">
      <c r="A312">
        <v>2</v>
      </c>
      <c r="B312" s="1" t="s">
        <v>9</v>
      </c>
      <c r="C312">
        <v>400</v>
      </c>
      <c r="D312">
        <v>1200</v>
      </c>
      <c r="E312">
        <v>0.19200979999732226</v>
      </c>
      <c r="F312">
        <v>0</v>
      </c>
      <c r="G312" t="b">
        <v>0</v>
      </c>
    </row>
    <row r="313" spans="1:7" x14ac:dyDescent="0.3">
      <c r="A313">
        <v>2</v>
      </c>
      <c r="B313" s="1" t="s">
        <v>10</v>
      </c>
      <c r="C313">
        <v>400</v>
      </c>
      <c r="D313">
        <v>1200</v>
      </c>
      <c r="E313">
        <v>5.8522499995888211E-2</v>
      </c>
      <c r="F313">
        <v>0</v>
      </c>
      <c r="G313" t="b">
        <v>0</v>
      </c>
    </row>
    <row r="314" spans="1:7" x14ac:dyDescent="0.3">
      <c r="A314">
        <v>2</v>
      </c>
      <c r="B314" s="1" t="s">
        <v>7</v>
      </c>
      <c r="C314">
        <v>10</v>
      </c>
      <c r="D314">
        <v>3600</v>
      </c>
      <c r="E314">
        <v>2.0999999833293259E-5</v>
      </c>
      <c r="F314">
        <v>1102</v>
      </c>
      <c r="G314" t="b">
        <v>0</v>
      </c>
    </row>
    <row r="315" spans="1:7" x14ac:dyDescent="0.3">
      <c r="A315">
        <v>2</v>
      </c>
      <c r="B315" s="1" t="s">
        <v>8</v>
      </c>
      <c r="C315">
        <v>10</v>
      </c>
      <c r="D315">
        <v>3600</v>
      </c>
      <c r="E315">
        <v>6.2180000531952828E-4</v>
      </c>
      <c r="F315">
        <v>1102</v>
      </c>
      <c r="G315" t="b">
        <v>0</v>
      </c>
    </row>
    <row r="316" spans="1:7" x14ac:dyDescent="0.3">
      <c r="A316">
        <v>2</v>
      </c>
      <c r="B316" s="1" t="s">
        <v>9</v>
      </c>
      <c r="C316">
        <v>10</v>
      </c>
      <c r="D316">
        <v>3600</v>
      </c>
      <c r="E316">
        <v>4.5510000200010836E-4</v>
      </c>
      <c r="F316">
        <v>1216</v>
      </c>
      <c r="G316" t="b">
        <v>0</v>
      </c>
    </row>
    <row r="317" spans="1:7" x14ac:dyDescent="0.3">
      <c r="A317">
        <v>2</v>
      </c>
      <c r="B317" s="1" t="s">
        <v>10</v>
      </c>
      <c r="C317">
        <v>10</v>
      </c>
      <c r="D317">
        <v>3600</v>
      </c>
      <c r="E317">
        <v>4.535000043688342E-4</v>
      </c>
      <c r="F317">
        <v>1103</v>
      </c>
      <c r="G317" t="b">
        <v>0</v>
      </c>
    </row>
    <row r="318" spans="1:7" x14ac:dyDescent="0.3">
      <c r="A318">
        <v>2</v>
      </c>
      <c r="B318" s="1" t="s">
        <v>7</v>
      </c>
      <c r="C318">
        <v>30</v>
      </c>
      <c r="D318">
        <v>3600</v>
      </c>
      <c r="E318">
        <v>1.0769999062176794E-4</v>
      </c>
      <c r="F318">
        <v>0</v>
      </c>
      <c r="G318" t="b">
        <v>0</v>
      </c>
    </row>
    <row r="319" spans="1:7" x14ac:dyDescent="0.3">
      <c r="A319">
        <v>2</v>
      </c>
      <c r="B319" s="1" t="s">
        <v>8</v>
      </c>
      <c r="C319">
        <v>30</v>
      </c>
      <c r="D319">
        <v>3600</v>
      </c>
      <c r="G319" t="b">
        <v>1</v>
      </c>
    </row>
    <row r="320" spans="1:7" x14ac:dyDescent="0.3">
      <c r="A320">
        <v>2</v>
      </c>
      <c r="B320" s="1" t="s">
        <v>9</v>
      </c>
      <c r="C320">
        <v>30</v>
      </c>
      <c r="D320">
        <v>3600</v>
      </c>
      <c r="E320">
        <v>3.6057599994819611E-2</v>
      </c>
      <c r="F320">
        <v>0</v>
      </c>
      <c r="G320" t="b">
        <v>0</v>
      </c>
    </row>
    <row r="321" spans="1:7" x14ac:dyDescent="0.3">
      <c r="A321">
        <v>2</v>
      </c>
      <c r="B321" s="1" t="s">
        <v>10</v>
      </c>
      <c r="C321">
        <v>30</v>
      </c>
      <c r="D321">
        <v>3600</v>
      </c>
      <c r="E321">
        <v>1.3471800004481338E-2</v>
      </c>
      <c r="F321">
        <v>0</v>
      </c>
      <c r="G321" t="b">
        <v>0</v>
      </c>
    </row>
    <row r="322" spans="1:7" x14ac:dyDescent="0.3">
      <c r="A322">
        <v>2</v>
      </c>
      <c r="B322" s="1" t="s">
        <v>7</v>
      </c>
      <c r="C322">
        <v>50</v>
      </c>
      <c r="D322">
        <v>3600</v>
      </c>
      <c r="E322">
        <v>3.8779999886173755E-4</v>
      </c>
      <c r="F322">
        <v>0</v>
      </c>
      <c r="G322" t="b">
        <v>0</v>
      </c>
    </row>
    <row r="323" spans="1:7" x14ac:dyDescent="0.3">
      <c r="A323">
        <v>2</v>
      </c>
      <c r="B323" s="1" t="s">
        <v>8</v>
      </c>
      <c r="C323">
        <v>50</v>
      </c>
      <c r="D323">
        <v>3600</v>
      </c>
      <c r="G323" t="b">
        <v>1</v>
      </c>
    </row>
    <row r="324" spans="1:7" x14ac:dyDescent="0.3">
      <c r="A324">
        <v>2</v>
      </c>
      <c r="B324" s="1" t="s">
        <v>9</v>
      </c>
      <c r="C324">
        <v>50</v>
      </c>
      <c r="D324">
        <v>3600</v>
      </c>
      <c r="E324">
        <v>8.4494199996697716E-2</v>
      </c>
      <c r="F324">
        <v>0</v>
      </c>
      <c r="G324" t="b">
        <v>0</v>
      </c>
    </row>
    <row r="325" spans="1:7" x14ac:dyDescent="0.3">
      <c r="A325">
        <v>2</v>
      </c>
      <c r="B325" s="1" t="s">
        <v>10</v>
      </c>
      <c r="C325">
        <v>50</v>
      </c>
      <c r="D325">
        <v>3600</v>
      </c>
      <c r="E325">
        <v>2.3148599997512065E-2</v>
      </c>
      <c r="F325">
        <v>0</v>
      </c>
      <c r="G325" t="b">
        <v>0</v>
      </c>
    </row>
    <row r="326" spans="1:7" x14ac:dyDescent="0.3">
      <c r="A326">
        <v>2</v>
      </c>
      <c r="B326" s="1" t="s">
        <v>7</v>
      </c>
      <c r="C326">
        <v>100</v>
      </c>
      <c r="D326">
        <v>3600</v>
      </c>
      <c r="E326">
        <v>7.5499992817640305E-5</v>
      </c>
      <c r="F326">
        <v>0</v>
      </c>
      <c r="G326" t="b">
        <v>0</v>
      </c>
    </row>
    <row r="327" spans="1:7" x14ac:dyDescent="0.3">
      <c r="A327">
        <v>2</v>
      </c>
      <c r="B327" s="1" t="s">
        <v>8</v>
      </c>
      <c r="C327">
        <v>100</v>
      </c>
      <c r="D327">
        <v>3600</v>
      </c>
      <c r="G327" t="b">
        <v>1</v>
      </c>
    </row>
    <row r="328" spans="1:7" x14ac:dyDescent="0.3">
      <c r="A328">
        <v>2</v>
      </c>
      <c r="B328" s="1" t="s">
        <v>9</v>
      </c>
      <c r="C328">
        <v>100</v>
      </c>
      <c r="D328">
        <v>3600</v>
      </c>
      <c r="E328">
        <v>0.21186060000036377</v>
      </c>
      <c r="F328">
        <v>0</v>
      </c>
      <c r="G328" t="b">
        <v>0</v>
      </c>
    </row>
    <row r="329" spans="1:7" x14ac:dyDescent="0.3">
      <c r="A329">
        <v>2</v>
      </c>
      <c r="B329" s="1" t="s">
        <v>10</v>
      </c>
      <c r="C329">
        <v>100</v>
      </c>
      <c r="D329">
        <v>3600</v>
      </c>
      <c r="E329">
        <v>6.4323600003262982E-2</v>
      </c>
      <c r="F329">
        <v>0</v>
      </c>
      <c r="G329" t="b">
        <v>0</v>
      </c>
    </row>
    <row r="330" spans="1:7" x14ac:dyDescent="0.3">
      <c r="A330">
        <v>2</v>
      </c>
      <c r="B330" s="1" t="s">
        <v>7</v>
      </c>
      <c r="C330">
        <v>200</v>
      </c>
      <c r="D330">
        <v>3600</v>
      </c>
      <c r="E330">
        <v>9.9400000181049109E-5</v>
      </c>
      <c r="F330">
        <v>0</v>
      </c>
      <c r="G330" t="b">
        <v>0</v>
      </c>
    </row>
    <row r="331" spans="1:7" x14ac:dyDescent="0.3">
      <c r="A331">
        <v>2</v>
      </c>
      <c r="B331" s="1" t="s">
        <v>8</v>
      </c>
      <c r="C331">
        <v>200</v>
      </c>
      <c r="D331">
        <v>3600</v>
      </c>
      <c r="G331" t="b">
        <v>1</v>
      </c>
    </row>
    <row r="332" spans="1:7" x14ac:dyDescent="0.3">
      <c r="A332">
        <v>2</v>
      </c>
      <c r="B332" s="1" t="s">
        <v>9</v>
      </c>
      <c r="C332">
        <v>200</v>
      </c>
      <c r="D332">
        <v>3600</v>
      </c>
      <c r="E332">
        <v>0.50112480000825599</v>
      </c>
      <c r="F332">
        <v>0</v>
      </c>
      <c r="G332" t="b">
        <v>0</v>
      </c>
    </row>
    <row r="333" spans="1:7" x14ac:dyDescent="0.3">
      <c r="A333">
        <v>2</v>
      </c>
      <c r="B333" s="1" t="s">
        <v>10</v>
      </c>
      <c r="C333">
        <v>200</v>
      </c>
      <c r="D333">
        <v>3600</v>
      </c>
      <c r="E333">
        <v>0.17898320000676904</v>
      </c>
      <c r="F333">
        <v>0</v>
      </c>
      <c r="G333" t="b">
        <v>0</v>
      </c>
    </row>
    <row r="334" spans="1:7" x14ac:dyDescent="0.3">
      <c r="A334">
        <v>2</v>
      </c>
      <c r="B334" s="1" t="s">
        <v>7</v>
      </c>
      <c r="C334">
        <v>400</v>
      </c>
      <c r="D334">
        <v>3600</v>
      </c>
      <c r="E334">
        <v>7.8360000043176115E-4</v>
      </c>
      <c r="F334">
        <v>0</v>
      </c>
      <c r="G334" t="b">
        <v>0</v>
      </c>
    </row>
    <row r="335" spans="1:7" x14ac:dyDescent="0.3">
      <c r="A335">
        <v>2</v>
      </c>
      <c r="B335" s="1" t="s">
        <v>8</v>
      </c>
      <c r="C335">
        <v>400</v>
      </c>
      <c r="D335">
        <v>3600</v>
      </c>
      <c r="G335" t="b">
        <v>1</v>
      </c>
    </row>
    <row r="336" spans="1:7" x14ac:dyDescent="0.3">
      <c r="A336">
        <v>2</v>
      </c>
      <c r="B336" s="1" t="s">
        <v>9</v>
      </c>
      <c r="C336">
        <v>400</v>
      </c>
      <c r="D336">
        <v>3600</v>
      </c>
      <c r="E336">
        <v>1.0080053999990923</v>
      </c>
      <c r="F336">
        <v>0</v>
      </c>
      <c r="G336" t="b">
        <v>0</v>
      </c>
    </row>
    <row r="337" spans="1:7" x14ac:dyDescent="0.3">
      <c r="A337">
        <v>2</v>
      </c>
      <c r="B337" s="1" t="s">
        <v>10</v>
      </c>
      <c r="C337">
        <v>400</v>
      </c>
      <c r="D337">
        <v>3600</v>
      </c>
      <c r="E337">
        <v>0.37176189999445342</v>
      </c>
      <c r="F337">
        <v>0</v>
      </c>
      <c r="G337" t="b">
        <v>0</v>
      </c>
    </row>
    <row r="338" spans="1:7" x14ac:dyDescent="0.3">
      <c r="A338">
        <v>2</v>
      </c>
      <c r="B338" s="1" t="s">
        <v>7</v>
      </c>
      <c r="C338">
        <v>10</v>
      </c>
      <c r="D338">
        <v>7200</v>
      </c>
      <c r="E338">
        <v>2.3000000510364771E-5</v>
      </c>
      <c r="F338">
        <v>4994</v>
      </c>
      <c r="G338" t="b">
        <v>0</v>
      </c>
    </row>
    <row r="339" spans="1:7" x14ac:dyDescent="0.3">
      <c r="A339">
        <v>2</v>
      </c>
      <c r="B339" s="1" t="s">
        <v>8</v>
      </c>
      <c r="C339">
        <v>10</v>
      </c>
      <c r="D339">
        <v>7200</v>
      </c>
      <c r="E339">
        <v>5.8039999566972256E-4</v>
      </c>
      <c r="F339">
        <v>4994</v>
      </c>
      <c r="G339" t="b">
        <v>0</v>
      </c>
    </row>
    <row r="340" spans="1:7" x14ac:dyDescent="0.3">
      <c r="A340">
        <v>2</v>
      </c>
      <c r="B340" s="1" t="s">
        <v>9</v>
      </c>
      <c r="C340">
        <v>10</v>
      </c>
      <c r="D340">
        <v>7200</v>
      </c>
      <c r="E340">
        <v>6.7280000075697899E-4</v>
      </c>
      <c r="F340">
        <v>4993</v>
      </c>
      <c r="G340" t="b">
        <v>0</v>
      </c>
    </row>
    <row r="341" spans="1:7" x14ac:dyDescent="0.3">
      <c r="A341">
        <v>2</v>
      </c>
      <c r="B341" s="1" t="s">
        <v>10</v>
      </c>
      <c r="C341">
        <v>10</v>
      </c>
      <c r="D341">
        <v>7200</v>
      </c>
      <c r="E341">
        <v>3.924999909941107E-4</v>
      </c>
      <c r="F341">
        <v>4993</v>
      </c>
      <c r="G341" t="b">
        <v>0</v>
      </c>
    </row>
    <row r="342" spans="1:7" x14ac:dyDescent="0.3">
      <c r="A342">
        <v>2</v>
      </c>
      <c r="B342" s="1" t="s">
        <v>7</v>
      </c>
      <c r="C342">
        <v>30</v>
      </c>
      <c r="D342">
        <v>7200</v>
      </c>
      <c r="G342" t="b">
        <v>1</v>
      </c>
    </row>
    <row r="343" spans="1:7" x14ac:dyDescent="0.3">
      <c r="A343">
        <v>2</v>
      </c>
      <c r="B343" s="1" t="s">
        <v>8</v>
      </c>
      <c r="C343">
        <v>30</v>
      </c>
      <c r="D343">
        <v>7200</v>
      </c>
      <c r="G343" t="b">
        <v>1</v>
      </c>
    </row>
    <row r="344" spans="1:7" x14ac:dyDescent="0.3">
      <c r="A344">
        <v>2</v>
      </c>
      <c r="B344" s="1" t="s">
        <v>9</v>
      </c>
      <c r="C344">
        <v>30</v>
      </c>
      <c r="D344">
        <v>7200</v>
      </c>
      <c r="E344">
        <v>4.1378499998245388E-2</v>
      </c>
      <c r="F344">
        <v>1</v>
      </c>
      <c r="G344" t="b">
        <v>0</v>
      </c>
    </row>
    <row r="345" spans="1:7" x14ac:dyDescent="0.3">
      <c r="A345">
        <v>2</v>
      </c>
      <c r="B345" s="1" t="s">
        <v>10</v>
      </c>
      <c r="C345">
        <v>30</v>
      </c>
      <c r="D345">
        <v>7200</v>
      </c>
      <c r="E345">
        <v>1.9262300003902055E-2</v>
      </c>
      <c r="F345">
        <v>0</v>
      </c>
      <c r="G345" t="b">
        <v>0</v>
      </c>
    </row>
    <row r="346" spans="1:7" x14ac:dyDescent="0.3">
      <c r="A346">
        <v>2</v>
      </c>
      <c r="B346" s="1" t="s">
        <v>7</v>
      </c>
      <c r="C346">
        <v>50</v>
      </c>
      <c r="D346">
        <v>7200</v>
      </c>
      <c r="E346">
        <v>2.9220001306384802E-4</v>
      </c>
      <c r="F346">
        <v>0</v>
      </c>
      <c r="G346" t="b">
        <v>0</v>
      </c>
    </row>
    <row r="347" spans="1:7" x14ac:dyDescent="0.3">
      <c r="A347">
        <v>2</v>
      </c>
      <c r="B347" s="1" t="s">
        <v>8</v>
      </c>
      <c r="C347">
        <v>50</v>
      </c>
      <c r="D347">
        <v>7200</v>
      </c>
      <c r="G347" t="b">
        <v>1</v>
      </c>
    </row>
    <row r="348" spans="1:7" x14ac:dyDescent="0.3">
      <c r="A348">
        <v>2</v>
      </c>
      <c r="B348" s="1" t="s">
        <v>9</v>
      </c>
      <c r="C348">
        <v>50</v>
      </c>
      <c r="D348">
        <v>7200</v>
      </c>
      <c r="E348">
        <v>0.16224940000392962</v>
      </c>
      <c r="F348">
        <v>0</v>
      </c>
      <c r="G348" t="b">
        <v>0</v>
      </c>
    </row>
    <row r="349" spans="1:7" x14ac:dyDescent="0.3">
      <c r="A349">
        <v>2</v>
      </c>
      <c r="B349" s="1" t="s">
        <v>10</v>
      </c>
      <c r="C349">
        <v>50</v>
      </c>
      <c r="D349">
        <v>7200</v>
      </c>
      <c r="E349">
        <v>7.3063699994236231E-2</v>
      </c>
      <c r="F349">
        <v>0</v>
      </c>
      <c r="G349" t="b">
        <v>0</v>
      </c>
    </row>
    <row r="350" spans="1:7" x14ac:dyDescent="0.3">
      <c r="A350">
        <v>2</v>
      </c>
      <c r="B350" s="1" t="s">
        <v>7</v>
      </c>
      <c r="C350">
        <v>100</v>
      </c>
      <c r="D350">
        <v>7200</v>
      </c>
      <c r="E350">
        <v>1.3719999988097697E-3</v>
      </c>
      <c r="F350">
        <v>0</v>
      </c>
      <c r="G350" t="b">
        <v>0</v>
      </c>
    </row>
    <row r="351" spans="1:7" x14ac:dyDescent="0.3">
      <c r="A351">
        <v>2</v>
      </c>
      <c r="B351" s="1" t="s">
        <v>8</v>
      </c>
      <c r="C351">
        <v>100</v>
      </c>
      <c r="D351">
        <v>7200</v>
      </c>
      <c r="G351" t="b">
        <v>1</v>
      </c>
    </row>
    <row r="352" spans="1:7" x14ac:dyDescent="0.3">
      <c r="A352">
        <v>2</v>
      </c>
      <c r="B352" s="1" t="s">
        <v>9</v>
      </c>
      <c r="C352">
        <v>100</v>
      </c>
      <c r="D352">
        <v>7200</v>
      </c>
      <c r="E352">
        <v>0.59455119998892769</v>
      </c>
      <c r="F352">
        <v>0</v>
      </c>
      <c r="G352" t="b">
        <v>0</v>
      </c>
    </row>
    <row r="353" spans="1:7" x14ac:dyDescent="0.3">
      <c r="A353">
        <v>2</v>
      </c>
      <c r="B353" s="1" t="s">
        <v>10</v>
      </c>
      <c r="C353">
        <v>100</v>
      </c>
      <c r="D353">
        <v>7200</v>
      </c>
      <c r="E353">
        <v>0.19055470000603236</v>
      </c>
      <c r="F353">
        <v>0</v>
      </c>
      <c r="G353" t="b">
        <v>0</v>
      </c>
    </row>
    <row r="354" spans="1:7" x14ac:dyDescent="0.3">
      <c r="A354">
        <v>2</v>
      </c>
      <c r="B354" s="1" t="s">
        <v>7</v>
      </c>
      <c r="C354">
        <v>200</v>
      </c>
      <c r="D354">
        <v>7200</v>
      </c>
      <c r="E354">
        <v>4.2579999717418104E-4</v>
      </c>
      <c r="F354">
        <v>0</v>
      </c>
      <c r="G354" t="b">
        <v>0</v>
      </c>
    </row>
    <row r="355" spans="1:7" x14ac:dyDescent="0.3">
      <c r="A355">
        <v>2</v>
      </c>
      <c r="B355" s="1" t="s">
        <v>8</v>
      </c>
      <c r="C355">
        <v>200</v>
      </c>
      <c r="D355">
        <v>7200</v>
      </c>
      <c r="G355" t="b">
        <v>1</v>
      </c>
    </row>
    <row r="356" spans="1:7" x14ac:dyDescent="0.3">
      <c r="A356">
        <v>2</v>
      </c>
      <c r="B356" s="1" t="s">
        <v>9</v>
      </c>
      <c r="C356">
        <v>200</v>
      </c>
      <c r="D356">
        <v>7200</v>
      </c>
      <c r="E356">
        <v>1.2226936999941245</v>
      </c>
      <c r="F356">
        <v>0</v>
      </c>
      <c r="G356" t="b">
        <v>0</v>
      </c>
    </row>
    <row r="357" spans="1:7" x14ac:dyDescent="0.3">
      <c r="A357">
        <v>2</v>
      </c>
      <c r="B357" s="1" t="s">
        <v>10</v>
      </c>
      <c r="C357">
        <v>200</v>
      </c>
      <c r="D357">
        <v>7200</v>
      </c>
      <c r="E357">
        <v>0.48496059999160934</v>
      </c>
      <c r="F357">
        <v>0</v>
      </c>
      <c r="G357" t="b">
        <v>0</v>
      </c>
    </row>
    <row r="358" spans="1:7" x14ac:dyDescent="0.3">
      <c r="A358">
        <v>2</v>
      </c>
      <c r="B358" s="1" t="s">
        <v>7</v>
      </c>
      <c r="C358">
        <v>400</v>
      </c>
      <c r="D358">
        <v>7200</v>
      </c>
      <c r="E358">
        <v>5.6100005167536438E-5</v>
      </c>
      <c r="F358">
        <v>0</v>
      </c>
      <c r="G358" t="b">
        <v>0</v>
      </c>
    </row>
    <row r="359" spans="1:7" x14ac:dyDescent="0.3">
      <c r="A359">
        <v>2</v>
      </c>
      <c r="B359" s="1" t="s">
        <v>8</v>
      </c>
      <c r="C359">
        <v>400</v>
      </c>
      <c r="D359">
        <v>7200</v>
      </c>
      <c r="G359" t="b">
        <v>1</v>
      </c>
    </row>
    <row r="360" spans="1:7" x14ac:dyDescent="0.3">
      <c r="A360">
        <v>2</v>
      </c>
      <c r="B360" s="1" t="s">
        <v>9</v>
      </c>
      <c r="C360">
        <v>400</v>
      </c>
      <c r="D360">
        <v>7200</v>
      </c>
      <c r="E360">
        <v>2.9720687000080943</v>
      </c>
      <c r="F360">
        <v>0</v>
      </c>
      <c r="G360" t="b">
        <v>0</v>
      </c>
    </row>
    <row r="361" spans="1:7" x14ac:dyDescent="0.3">
      <c r="A361">
        <v>2</v>
      </c>
      <c r="B361" s="1" t="s">
        <v>10</v>
      </c>
      <c r="C361">
        <v>400</v>
      </c>
      <c r="D361">
        <v>7200</v>
      </c>
      <c r="E361">
        <v>0.9999041999981273</v>
      </c>
      <c r="F361">
        <v>0</v>
      </c>
      <c r="G361" t="b">
        <v>0</v>
      </c>
    </row>
    <row r="362" spans="1:7" x14ac:dyDescent="0.3">
      <c r="A362">
        <v>3</v>
      </c>
      <c r="B362" s="1" t="s">
        <v>7</v>
      </c>
      <c r="C362">
        <v>10</v>
      </c>
      <c r="D362">
        <v>300</v>
      </c>
      <c r="G362" t="b">
        <v>1</v>
      </c>
    </row>
    <row r="363" spans="1:7" x14ac:dyDescent="0.3">
      <c r="A363">
        <v>3</v>
      </c>
      <c r="B363" s="1" t="s">
        <v>8</v>
      </c>
      <c r="C363">
        <v>10</v>
      </c>
      <c r="D363">
        <v>300</v>
      </c>
      <c r="E363">
        <v>8.1799997133202851E-5</v>
      </c>
      <c r="F363">
        <v>1</v>
      </c>
      <c r="G363" t="b">
        <v>0</v>
      </c>
    </row>
    <row r="364" spans="1:7" x14ac:dyDescent="0.3">
      <c r="A364">
        <v>3</v>
      </c>
      <c r="B364" s="1" t="s">
        <v>9</v>
      </c>
      <c r="C364">
        <v>10</v>
      </c>
      <c r="D364">
        <v>300</v>
      </c>
      <c r="E364">
        <v>5.0700007705017924E-5</v>
      </c>
      <c r="F364">
        <v>1</v>
      </c>
      <c r="G364" t="b">
        <v>0</v>
      </c>
    </row>
    <row r="365" spans="1:7" x14ac:dyDescent="0.3">
      <c r="A365">
        <v>3</v>
      </c>
      <c r="B365" s="1" t="s">
        <v>10</v>
      </c>
      <c r="C365">
        <v>10</v>
      </c>
      <c r="D365">
        <v>300</v>
      </c>
      <c r="E365">
        <v>4.5900000259280205E-5</v>
      </c>
      <c r="F365">
        <v>1</v>
      </c>
      <c r="G365" t="b">
        <v>0</v>
      </c>
    </row>
    <row r="366" spans="1:7" x14ac:dyDescent="0.3">
      <c r="A366">
        <v>3</v>
      </c>
      <c r="B366" s="1" t="s">
        <v>7</v>
      </c>
      <c r="C366">
        <v>30</v>
      </c>
      <c r="D366">
        <v>300</v>
      </c>
      <c r="E366">
        <v>1.5290000010281801E-4</v>
      </c>
      <c r="F366">
        <v>0</v>
      </c>
      <c r="G366" t="b">
        <v>0</v>
      </c>
    </row>
    <row r="367" spans="1:7" x14ac:dyDescent="0.3">
      <c r="A367">
        <v>3</v>
      </c>
      <c r="B367" s="1" t="s">
        <v>8</v>
      </c>
      <c r="C367">
        <v>30</v>
      </c>
      <c r="D367">
        <v>300</v>
      </c>
      <c r="E367">
        <v>2.1755000052507967E-3</v>
      </c>
      <c r="F367">
        <v>0</v>
      </c>
      <c r="G367" t="b">
        <v>0</v>
      </c>
    </row>
    <row r="368" spans="1:7" x14ac:dyDescent="0.3">
      <c r="A368">
        <v>3</v>
      </c>
      <c r="B368" s="1" t="s">
        <v>9</v>
      </c>
      <c r="C368">
        <v>30</v>
      </c>
      <c r="D368">
        <v>300</v>
      </c>
      <c r="E368">
        <v>3.1180000223685056E-4</v>
      </c>
      <c r="F368">
        <v>0</v>
      </c>
      <c r="G368" t="b">
        <v>0</v>
      </c>
    </row>
    <row r="369" spans="1:7" x14ac:dyDescent="0.3">
      <c r="A369">
        <v>3</v>
      </c>
      <c r="B369" s="1" t="s">
        <v>10</v>
      </c>
      <c r="C369">
        <v>30</v>
      </c>
      <c r="D369">
        <v>300</v>
      </c>
      <c r="E369">
        <v>2.8789999487344176E-4</v>
      </c>
      <c r="F369">
        <v>0</v>
      </c>
      <c r="G369" t="b">
        <v>0</v>
      </c>
    </row>
    <row r="370" spans="1:7" x14ac:dyDescent="0.3">
      <c r="A370">
        <v>3</v>
      </c>
      <c r="B370" s="1" t="s">
        <v>7</v>
      </c>
      <c r="C370">
        <v>50</v>
      </c>
      <c r="D370">
        <v>300</v>
      </c>
      <c r="G370" t="b">
        <v>1</v>
      </c>
    </row>
    <row r="371" spans="1:7" x14ac:dyDescent="0.3">
      <c r="A371">
        <v>3</v>
      </c>
      <c r="B371" s="1" t="s">
        <v>8</v>
      </c>
      <c r="C371">
        <v>50</v>
      </c>
      <c r="D371">
        <v>300</v>
      </c>
      <c r="E371">
        <v>2.5123200000962242E-2</v>
      </c>
      <c r="F371">
        <v>0</v>
      </c>
      <c r="G371" t="b">
        <v>0</v>
      </c>
    </row>
    <row r="372" spans="1:7" x14ac:dyDescent="0.3">
      <c r="A372">
        <v>3</v>
      </c>
      <c r="B372" s="1" t="s">
        <v>9</v>
      </c>
      <c r="C372">
        <v>50</v>
      </c>
      <c r="D372">
        <v>300</v>
      </c>
      <c r="E372">
        <v>8.9200001093558967E-4</v>
      </c>
      <c r="F372">
        <v>0</v>
      </c>
      <c r="G372" t="b">
        <v>0</v>
      </c>
    </row>
    <row r="373" spans="1:7" x14ac:dyDescent="0.3">
      <c r="A373">
        <v>3</v>
      </c>
      <c r="B373" s="1" t="s">
        <v>10</v>
      </c>
      <c r="C373">
        <v>50</v>
      </c>
      <c r="D373">
        <v>300</v>
      </c>
      <c r="E373">
        <v>5.3390000539366156E-4</v>
      </c>
      <c r="F373">
        <v>0</v>
      </c>
      <c r="G373" t="b">
        <v>0</v>
      </c>
    </row>
    <row r="374" spans="1:7" x14ac:dyDescent="0.3">
      <c r="A374">
        <v>3</v>
      </c>
      <c r="B374" s="1" t="s">
        <v>7</v>
      </c>
      <c r="C374">
        <v>100</v>
      </c>
      <c r="D374">
        <v>300</v>
      </c>
      <c r="G374" t="b">
        <v>1</v>
      </c>
    </row>
    <row r="375" spans="1:7" x14ac:dyDescent="0.3">
      <c r="A375">
        <v>3</v>
      </c>
      <c r="B375" s="1" t="s">
        <v>8</v>
      </c>
      <c r="C375">
        <v>100</v>
      </c>
      <c r="D375">
        <v>300</v>
      </c>
      <c r="E375">
        <v>0.35970939999970142</v>
      </c>
      <c r="F375">
        <v>0</v>
      </c>
      <c r="G375" t="b">
        <v>0</v>
      </c>
    </row>
    <row r="376" spans="1:7" x14ac:dyDescent="0.3">
      <c r="A376">
        <v>3</v>
      </c>
      <c r="B376" s="1" t="s">
        <v>9</v>
      </c>
      <c r="C376">
        <v>100</v>
      </c>
      <c r="D376">
        <v>300</v>
      </c>
      <c r="E376">
        <v>2.2313999943435192E-3</v>
      </c>
      <c r="F376">
        <v>0</v>
      </c>
      <c r="G376" t="b">
        <v>0</v>
      </c>
    </row>
    <row r="377" spans="1:7" x14ac:dyDescent="0.3">
      <c r="A377">
        <v>3</v>
      </c>
      <c r="B377" s="1" t="s">
        <v>10</v>
      </c>
      <c r="C377">
        <v>100</v>
      </c>
      <c r="D377">
        <v>300</v>
      </c>
      <c r="E377">
        <v>1.3909000117564574E-3</v>
      </c>
      <c r="F377">
        <v>0</v>
      </c>
      <c r="G377" t="b">
        <v>0</v>
      </c>
    </row>
    <row r="378" spans="1:7" x14ac:dyDescent="0.3">
      <c r="A378">
        <v>3</v>
      </c>
      <c r="B378" s="1" t="s">
        <v>7</v>
      </c>
      <c r="C378">
        <v>200</v>
      </c>
      <c r="D378">
        <v>300</v>
      </c>
      <c r="E378">
        <v>2.1921000006841496E-3</v>
      </c>
      <c r="F378">
        <v>0</v>
      </c>
      <c r="G378" t="b">
        <v>0</v>
      </c>
    </row>
    <row r="379" spans="1:7" x14ac:dyDescent="0.3">
      <c r="A379">
        <v>3</v>
      </c>
      <c r="B379" s="1" t="s">
        <v>8</v>
      </c>
      <c r="C379">
        <v>200</v>
      </c>
      <c r="D379">
        <v>300</v>
      </c>
      <c r="G379" t="b">
        <v>1</v>
      </c>
    </row>
    <row r="380" spans="1:7" x14ac:dyDescent="0.3">
      <c r="A380">
        <v>3</v>
      </c>
      <c r="B380" s="1" t="s">
        <v>9</v>
      </c>
      <c r="C380">
        <v>200</v>
      </c>
      <c r="D380">
        <v>300</v>
      </c>
      <c r="E380">
        <v>6.5359000000171363E-3</v>
      </c>
      <c r="F380">
        <v>0</v>
      </c>
      <c r="G380" t="b">
        <v>0</v>
      </c>
    </row>
    <row r="381" spans="1:7" x14ac:dyDescent="0.3">
      <c r="A381">
        <v>3</v>
      </c>
      <c r="B381" s="1" t="s">
        <v>10</v>
      </c>
      <c r="C381">
        <v>200</v>
      </c>
      <c r="D381">
        <v>300</v>
      </c>
      <c r="E381">
        <v>3.910100000211969E-3</v>
      </c>
      <c r="F381">
        <v>0</v>
      </c>
      <c r="G381" t="b">
        <v>0</v>
      </c>
    </row>
    <row r="382" spans="1:7" x14ac:dyDescent="0.3">
      <c r="A382">
        <v>3</v>
      </c>
      <c r="B382" s="1" t="s">
        <v>7</v>
      </c>
      <c r="C382">
        <v>400</v>
      </c>
      <c r="D382">
        <v>300</v>
      </c>
      <c r="G382" t="b">
        <v>1</v>
      </c>
    </row>
    <row r="383" spans="1:7" x14ac:dyDescent="0.3">
      <c r="A383">
        <v>3</v>
      </c>
      <c r="B383" s="1" t="s">
        <v>8</v>
      </c>
      <c r="C383">
        <v>400</v>
      </c>
      <c r="D383">
        <v>300</v>
      </c>
      <c r="G383" t="b">
        <v>1</v>
      </c>
    </row>
    <row r="384" spans="1:7" x14ac:dyDescent="0.3">
      <c r="A384">
        <v>3</v>
      </c>
      <c r="B384" s="1" t="s">
        <v>9</v>
      </c>
      <c r="C384">
        <v>400</v>
      </c>
      <c r="D384">
        <v>300</v>
      </c>
      <c r="E384">
        <v>1.7005299989250489E-2</v>
      </c>
      <c r="F384">
        <v>0</v>
      </c>
      <c r="G384" t="b">
        <v>0</v>
      </c>
    </row>
    <row r="385" spans="1:7" x14ac:dyDescent="0.3">
      <c r="A385">
        <v>3</v>
      </c>
      <c r="B385" s="1" t="s">
        <v>10</v>
      </c>
      <c r="C385">
        <v>400</v>
      </c>
      <c r="D385">
        <v>300</v>
      </c>
      <c r="E385">
        <v>9.4757000042591244E-3</v>
      </c>
      <c r="F385">
        <v>0</v>
      </c>
      <c r="G385" t="b">
        <v>0</v>
      </c>
    </row>
    <row r="386" spans="1:7" x14ac:dyDescent="0.3">
      <c r="A386">
        <v>3</v>
      </c>
      <c r="B386" s="1" t="s">
        <v>7</v>
      </c>
      <c r="C386">
        <v>10</v>
      </c>
      <c r="D386">
        <v>600</v>
      </c>
      <c r="G386" t="b">
        <v>1</v>
      </c>
    </row>
    <row r="387" spans="1:7" x14ac:dyDescent="0.3">
      <c r="A387">
        <v>3</v>
      </c>
      <c r="B387" s="1" t="s">
        <v>8</v>
      </c>
      <c r="C387">
        <v>10</v>
      </c>
      <c r="D387">
        <v>600</v>
      </c>
      <c r="E387">
        <v>1.8839999393094331E-4</v>
      </c>
      <c r="F387">
        <v>2</v>
      </c>
      <c r="G387" t="b">
        <v>0</v>
      </c>
    </row>
    <row r="388" spans="1:7" x14ac:dyDescent="0.3">
      <c r="A388">
        <v>3</v>
      </c>
      <c r="B388" s="1" t="s">
        <v>9</v>
      </c>
      <c r="C388">
        <v>10</v>
      </c>
      <c r="D388">
        <v>600</v>
      </c>
      <c r="E388">
        <v>1.4960000407882035E-4</v>
      </c>
      <c r="F388">
        <v>2</v>
      </c>
      <c r="G388" t="b">
        <v>0</v>
      </c>
    </row>
    <row r="389" spans="1:7" x14ac:dyDescent="0.3">
      <c r="A389">
        <v>3</v>
      </c>
      <c r="B389" s="1" t="s">
        <v>10</v>
      </c>
      <c r="C389">
        <v>10</v>
      </c>
      <c r="D389">
        <v>600</v>
      </c>
      <c r="E389">
        <v>1.1090000043623149E-4</v>
      </c>
      <c r="F389">
        <v>2</v>
      </c>
      <c r="G389" t="b">
        <v>0</v>
      </c>
    </row>
    <row r="390" spans="1:7" x14ac:dyDescent="0.3">
      <c r="A390">
        <v>3</v>
      </c>
      <c r="B390" s="1" t="s">
        <v>7</v>
      </c>
      <c r="C390">
        <v>30</v>
      </c>
      <c r="D390">
        <v>600</v>
      </c>
      <c r="G390" t="b">
        <v>1</v>
      </c>
    </row>
    <row r="391" spans="1:7" x14ac:dyDescent="0.3">
      <c r="A391">
        <v>3</v>
      </c>
      <c r="B391" s="1" t="s">
        <v>8</v>
      </c>
      <c r="C391">
        <v>30</v>
      </c>
      <c r="D391">
        <v>600</v>
      </c>
      <c r="E391">
        <v>2.8075800000806339E-2</v>
      </c>
      <c r="F391">
        <v>0</v>
      </c>
      <c r="G391" t="b">
        <v>0</v>
      </c>
    </row>
    <row r="392" spans="1:7" x14ac:dyDescent="0.3">
      <c r="A392">
        <v>3</v>
      </c>
      <c r="B392" s="1" t="s">
        <v>9</v>
      </c>
      <c r="C392">
        <v>30</v>
      </c>
      <c r="D392">
        <v>600</v>
      </c>
      <c r="E392">
        <v>1.6982999950414523E-3</v>
      </c>
      <c r="F392">
        <v>0</v>
      </c>
      <c r="G392" t="b">
        <v>0</v>
      </c>
    </row>
    <row r="393" spans="1:7" x14ac:dyDescent="0.3">
      <c r="A393">
        <v>3</v>
      </c>
      <c r="B393" s="1" t="s">
        <v>10</v>
      </c>
      <c r="C393">
        <v>30</v>
      </c>
      <c r="D393">
        <v>600</v>
      </c>
      <c r="E393">
        <v>8.6830000509507954E-4</v>
      </c>
      <c r="F393">
        <v>0</v>
      </c>
      <c r="G393" t="b">
        <v>0</v>
      </c>
    </row>
    <row r="394" spans="1:7" x14ac:dyDescent="0.3">
      <c r="A394">
        <v>3</v>
      </c>
      <c r="B394" s="1" t="s">
        <v>7</v>
      </c>
      <c r="C394">
        <v>50</v>
      </c>
      <c r="D394">
        <v>600</v>
      </c>
      <c r="E394">
        <v>1.1693999986164272E-3</v>
      </c>
      <c r="F394">
        <v>0</v>
      </c>
      <c r="G394" t="b">
        <v>0</v>
      </c>
    </row>
    <row r="395" spans="1:7" x14ac:dyDescent="0.3">
      <c r="A395">
        <v>3</v>
      </c>
      <c r="B395" s="1" t="s">
        <v>8</v>
      </c>
      <c r="C395">
        <v>50</v>
      </c>
      <c r="D395">
        <v>600</v>
      </c>
      <c r="E395">
        <v>1.2523720000026515</v>
      </c>
      <c r="F395">
        <v>0</v>
      </c>
      <c r="G395" t="b">
        <v>0</v>
      </c>
    </row>
    <row r="396" spans="1:7" x14ac:dyDescent="0.3">
      <c r="A396">
        <v>3</v>
      </c>
      <c r="B396" s="1" t="s">
        <v>9</v>
      </c>
      <c r="C396">
        <v>50</v>
      </c>
      <c r="D396">
        <v>600</v>
      </c>
      <c r="E396">
        <v>4.7227000031853095E-3</v>
      </c>
      <c r="F396">
        <v>0</v>
      </c>
      <c r="G396" t="b">
        <v>0</v>
      </c>
    </row>
    <row r="397" spans="1:7" x14ac:dyDescent="0.3">
      <c r="A397">
        <v>3</v>
      </c>
      <c r="B397" s="1" t="s">
        <v>10</v>
      </c>
      <c r="C397">
        <v>50</v>
      </c>
      <c r="D397">
        <v>600</v>
      </c>
      <c r="E397">
        <v>1.9519000052241609E-3</v>
      </c>
      <c r="F397">
        <v>0</v>
      </c>
      <c r="G397" t="b">
        <v>0</v>
      </c>
    </row>
    <row r="398" spans="1:7" x14ac:dyDescent="0.3">
      <c r="A398">
        <v>3</v>
      </c>
      <c r="B398" s="1" t="s">
        <v>7</v>
      </c>
      <c r="C398">
        <v>100</v>
      </c>
      <c r="D398">
        <v>600</v>
      </c>
      <c r="E398">
        <v>1.2895999971078709E-3</v>
      </c>
      <c r="F398">
        <v>0</v>
      </c>
      <c r="G398" t="b">
        <v>0</v>
      </c>
    </row>
    <row r="399" spans="1:7" x14ac:dyDescent="0.3">
      <c r="A399">
        <v>3</v>
      </c>
      <c r="B399" s="1" t="s">
        <v>8</v>
      </c>
      <c r="C399">
        <v>100</v>
      </c>
      <c r="D399">
        <v>600</v>
      </c>
      <c r="G399" t="b">
        <v>1</v>
      </c>
    </row>
    <row r="400" spans="1:7" x14ac:dyDescent="0.3">
      <c r="A400">
        <v>3</v>
      </c>
      <c r="B400" s="1" t="s">
        <v>9</v>
      </c>
      <c r="C400">
        <v>100</v>
      </c>
      <c r="D400">
        <v>600</v>
      </c>
      <c r="E400">
        <v>1.1011399998096749E-2</v>
      </c>
      <c r="F400">
        <v>0</v>
      </c>
      <c r="G400" t="b">
        <v>0</v>
      </c>
    </row>
    <row r="401" spans="1:7" x14ac:dyDescent="0.3">
      <c r="A401">
        <v>3</v>
      </c>
      <c r="B401" s="1" t="s">
        <v>10</v>
      </c>
      <c r="C401">
        <v>100</v>
      </c>
      <c r="D401">
        <v>600</v>
      </c>
      <c r="E401">
        <v>4.8582000017631799E-3</v>
      </c>
      <c r="F401">
        <v>0</v>
      </c>
      <c r="G401" t="b">
        <v>0</v>
      </c>
    </row>
    <row r="402" spans="1:7" x14ac:dyDescent="0.3">
      <c r="A402">
        <v>3</v>
      </c>
      <c r="B402" s="1" t="s">
        <v>7</v>
      </c>
      <c r="C402">
        <v>200</v>
      </c>
      <c r="D402">
        <v>600</v>
      </c>
      <c r="E402">
        <v>4.0560999914305285E-3</v>
      </c>
      <c r="F402">
        <v>0</v>
      </c>
      <c r="G402" t="b">
        <v>0</v>
      </c>
    </row>
    <row r="403" spans="1:7" x14ac:dyDescent="0.3">
      <c r="A403">
        <v>3</v>
      </c>
      <c r="B403" s="1" t="s">
        <v>8</v>
      </c>
      <c r="C403">
        <v>200</v>
      </c>
      <c r="D403">
        <v>600</v>
      </c>
      <c r="G403" t="b">
        <v>1</v>
      </c>
    </row>
    <row r="404" spans="1:7" x14ac:dyDescent="0.3">
      <c r="A404">
        <v>3</v>
      </c>
      <c r="B404" s="1" t="s">
        <v>9</v>
      </c>
      <c r="C404">
        <v>200</v>
      </c>
      <c r="D404">
        <v>600</v>
      </c>
      <c r="E404">
        <v>5.5475899993325584E-2</v>
      </c>
      <c r="F404">
        <v>0</v>
      </c>
      <c r="G404" t="b">
        <v>0</v>
      </c>
    </row>
    <row r="405" spans="1:7" x14ac:dyDescent="0.3">
      <c r="A405">
        <v>3</v>
      </c>
      <c r="B405" s="1" t="s">
        <v>10</v>
      </c>
      <c r="C405">
        <v>200</v>
      </c>
      <c r="D405">
        <v>600</v>
      </c>
      <c r="E405">
        <v>1.3237199993454851E-2</v>
      </c>
      <c r="F405">
        <v>0</v>
      </c>
      <c r="G405" t="b">
        <v>0</v>
      </c>
    </row>
    <row r="406" spans="1:7" x14ac:dyDescent="0.3">
      <c r="A406">
        <v>3</v>
      </c>
      <c r="B406" s="1" t="s">
        <v>7</v>
      </c>
      <c r="C406">
        <v>400</v>
      </c>
      <c r="D406">
        <v>600</v>
      </c>
      <c r="E406">
        <v>5.6151000026147813E-3</v>
      </c>
      <c r="F406">
        <v>0</v>
      </c>
      <c r="G406" t="b">
        <v>0</v>
      </c>
    </row>
    <row r="407" spans="1:7" x14ac:dyDescent="0.3">
      <c r="A407">
        <v>3</v>
      </c>
      <c r="B407" s="1" t="s">
        <v>8</v>
      </c>
      <c r="C407">
        <v>400</v>
      </c>
      <c r="D407">
        <v>600</v>
      </c>
      <c r="G407" t="b">
        <v>1</v>
      </c>
    </row>
    <row r="408" spans="1:7" x14ac:dyDescent="0.3">
      <c r="A408">
        <v>3</v>
      </c>
      <c r="B408" s="1" t="s">
        <v>9</v>
      </c>
      <c r="C408">
        <v>400</v>
      </c>
      <c r="D408">
        <v>600</v>
      </c>
      <c r="E408">
        <v>7.7760100000887178E-2</v>
      </c>
      <c r="F408">
        <v>0</v>
      </c>
      <c r="G408" t="b">
        <v>0</v>
      </c>
    </row>
    <row r="409" spans="1:7" x14ac:dyDescent="0.3">
      <c r="A409">
        <v>3</v>
      </c>
      <c r="B409" s="1" t="s">
        <v>10</v>
      </c>
      <c r="C409">
        <v>400</v>
      </c>
      <c r="D409">
        <v>600</v>
      </c>
      <c r="E409">
        <v>2.6435099993250333E-2</v>
      </c>
      <c r="F409">
        <v>0</v>
      </c>
      <c r="G409" t="b">
        <v>0</v>
      </c>
    </row>
    <row r="410" spans="1:7" x14ac:dyDescent="0.3">
      <c r="A410">
        <v>3</v>
      </c>
      <c r="B410" s="1" t="s">
        <v>7</v>
      </c>
      <c r="C410">
        <v>10</v>
      </c>
      <c r="D410">
        <v>1200</v>
      </c>
      <c r="G410" t="b">
        <v>1</v>
      </c>
    </row>
    <row r="411" spans="1:7" x14ac:dyDescent="0.3">
      <c r="A411">
        <v>3</v>
      </c>
      <c r="B411" s="1" t="s">
        <v>8</v>
      </c>
      <c r="C411">
        <v>10</v>
      </c>
      <c r="D411">
        <v>1200</v>
      </c>
      <c r="E411">
        <v>3.4709999454207718E-4</v>
      </c>
      <c r="F411">
        <v>2</v>
      </c>
      <c r="G411" t="b">
        <v>0</v>
      </c>
    </row>
    <row r="412" spans="1:7" x14ac:dyDescent="0.3">
      <c r="A412">
        <v>3</v>
      </c>
      <c r="B412" s="1" t="s">
        <v>9</v>
      </c>
      <c r="C412">
        <v>10</v>
      </c>
      <c r="D412">
        <v>1200</v>
      </c>
      <c r="E412">
        <v>3.0439998954534531E-4</v>
      </c>
      <c r="F412">
        <v>3</v>
      </c>
      <c r="G412" t="b">
        <v>0</v>
      </c>
    </row>
    <row r="413" spans="1:7" x14ac:dyDescent="0.3">
      <c r="A413">
        <v>3</v>
      </c>
      <c r="B413" s="1" t="s">
        <v>10</v>
      </c>
      <c r="C413">
        <v>10</v>
      </c>
      <c r="D413">
        <v>1200</v>
      </c>
      <c r="E413">
        <v>2.5559999630786479E-4</v>
      </c>
      <c r="F413">
        <v>2</v>
      </c>
      <c r="G413" t="b">
        <v>0</v>
      </c>
    </row>
    <row r="414" spans="1:7" x14ac:dyDescent="0.3">
      <c r="A414">
        <v>3</v>
      </c>
      <c r="B414" s="1" t="s">
        <v>7</v>
      </c>
      <c r="C414">
        <v>30</v>
      </c>
      <c r="D414">
        <v>1200</v>
      </c>
      <c r="E414">
        <v>2.5810000079218298E-4</v>
      </c>
      <c r="F414">
        <v>0</v>
      </c>
      <c r="G414" t="b">
        <v>0</v>
      </c>
    </row>
    <row r="415" spans="1:7" x14ac:dyDescent="0.3">
      <c r="A415">
        <v>3</v>
      </c>
      <c r="B415" s="1" t="s">
        <v>8</v>
      </c>
      <c r="C415">
        <v>30</v>
      </c>
      <c r="D415">
        <v>1200</v>
      </c>
      <c r="E415">
        <v>1.372133600001689</v>
      </c>
      <c r="F415">
        <v>0</v>
      </c>
      <c r="G415" t="b">
        <v>0</v>
      </c>
    </row>
    <row r="416" spans="1:7" x14ac:dyDescent="0.3">
      <c r="A416">
        <v>3</v>
      </c>
      <c r="B416" s="1" t="s">
        <v>9</v>
      </c>
      <c r="C416">
        <v>30</v>
      </c>
      <c r="D416">
        <v>1200</v>
      </c>
      <c r="E416">
        <v>1.7885099994600751E-2</v>
      </c>
      <c r="F416">
        <v>0</v>
      </c>
      <c r="G416" t="b">
        <v>0</v>
      </c>
    </row>
    <row r="417" spans="1:7" x14ac:dyDescent="0.3">
      <c r="A417">
        <v>3</v>
      </c>
      <c r="B417" s="1" t="s">
        <v>10</v>
      </c>
      <c r="C417">
        <v>30</v>
      </c>
      <c r="D417">
        <v>1200</v>
      </c>
      <c r="E417">
        <v>6.601600005524233E-3</v>
      </c>
      <c r="F417">
        <v>0</v>
      </c>
      <c r="G417" t="b">
        <v>0</v>
      </c>
    </row>
    <row r="418" spans="1:7" x14ac:dyDescent="0.3">
      <c r="A418">
        <v>3</v>
      </c>
      <c r="B418" s="1" t="s">
        <v>7</v>
      </c>
      <c r="C418">
        <v>50</v>
      </c>
      <c r="D418">
        <v>1200</v>
      </c>
      <c r="E418">
        <v>6.5279999398626387E-4</v>
      </c>
      <c r="F418">
        <v>0</v>
      </c>
      <c r="G418" t="b">
        <v>0</v>
      </c>
    </row>
    <row r="419" spans="1:7" x14ac:dyDescent="0.3">
      <c r="A419">
        <v>3</v>
      </c>
      <c r="B419" s="1" t="s">
        <v>8</v>
      </c>
      <c r="C419">
        <v>50</v>
      </c>
      <c r="D419">
        <v>1200</v>
      </c>
      <c r="G419" t="b">
        <v>1</v>
      </c>
    </row>
    <row r="420" spans="1:7" x14ac:dyDescent="0.3">
      <c r="A420">
        <v>3</v>
      </c>
      <c r="B420" s="1" t="s">
        <v>9</v>
      </c>
      <c r="C420">
        <v>50</v>
      </c>
      <c r="D420">
        <v>1200</v>
      </c>
      <c r="E420">
        <v>1.6120200001751073E-2</v>
      </c>
      <c r="F420">
        <v>0</v>
      </c>
      <c r="G420" t="b">
        <v>0</v>
      </c>
    </row>
    <row r="421" spans="1:7" x14ac:dyDescent="0.3">
      <c r="A421">
        <v>3</v>
      </c>
      <c r="B421" s="1" t="s">
        <v>10</v>
      </c>
      <c r="C421">
        <v>50</v>
      </c>
      <c r="D421">
        <v>1200</v>
      </c>
      <c r="E421">
        <v>6.2544000102207065E-3</v>
      </c>
      <c r="F421">
        <v>0</v>
      </c>
      <c r="G421" t="b">
        <v>0</v>
      </c>
    </row>
    <row r="422" spans="1:7" x14ac:dyDescent="0.3">
      <c r="A422">
        <v>3</v>
      </c>
      <c r="B422" s="1" t="s">
        <v>7</v>
      </c>
      <c r="C422">
        <v>100</v>
      </c>
      <c r="D422">
        <v>1200</v>
      </c>
      <c r="E422">
        <v>9.9679999402724206E-4</v>
      </c>
      <c r="F422">
        <v>0</v>
      </c>
      <c r="G422" t="b">
        <v>0</v>
      </c>
    </row>
    <row r="423" spans="1:7" x14ac:dyDescent="0.3">
      <c r="A423">
        <v>3</v>
      </c>
      <c r="B423" s="1" t="s">
        <v>8</v>
      </c>
      <c r="C423">
        <v>100</v>
      </c>
      <c r="D423">
        <v>1200</v>
      </c>
      <c r="G423" t="b">
        <v>1</v>
      </c>
    </row>
    <row r="424" spans="1:7" x14ac:dyDescent="0.3">
      <c r="A424">
        <v>3</v>
      </c>
      <c r="B424" s="1" t="s">
        <v>9</v>
      </c>
      <c r="C424">
        <v>100</v>
      </c>
      <c r="D424">
        <v>1200</v>
      </c>
      <c r="E424">
        <v>4.2925200003082864E-2</v>
      </c>
      <c r="F424">
        <v>0</v>
      </c>
      <c r="G424" t="b">
        <v>0</v>
      </c>
    </row>
    <row r="425" spans="1:7" x14ac:dyDescent="0.3">
      <c r="A425">
        <v>3</v>
      </c>
      <c r="B425" s="1" t="s">
        <v>10</v>
      </c>
      <c r="C425">
        <v>100</v>
      </c>
      <c r="D425">
        <v>1200</v>
      </c>
      <c r="E425">
        <v>1.5668100008042529E-2</v>
      </c>
      <c r="F425">
        <v>0</v>
      </c>
      <c r="G425" t="b">
        <v>0</v>
      </c>
    </row>
    <row r="426" spans="1:7" x14ac:dyDescent="0.3">
      <c r="A426">
        <v>3</v>
      </c>
      <c r="B426" s="1" t="s">
        <v>7</v>
      </c>
      <c r="C426">
        <v>200</v>
      </c>
      <c r="D426">
        <v>1200</v>
      </c>
      <c r="E426">
        <v>8.6500003817491233E-5</v>
      </c>
      <c r="F426">
        <v>0</v>
      </c>
      <c r="G426" t="b">
        <v>0</v>
      </c>
    </row>
    <row r="427" spans="1:7" x14ac:dyDescent="0.3">
      <c r="A427">
        <v>3</v>
      </c>
      <c r="B427" s="1" t="s">
        <v>8</v>
      </c>
      <c r="C427">
        <v>200</v>
      </c>
      <c r="D427">
        <v>1200</v>
      </c>
      <c r="G427" t="b">
        <v>1</v>
      </c>
    </row>
    <row r="428" spans="1:7" x14ac:dyDescent="0.3">
      <c r="A428">
        <v>3</v>
      </c>
      <c r="B428" s="1" t="s">
        <v>9</v>
      </c>
      <c r="C428">
        <v>200</v>
      </c>
      <c r="D428">
        <v>1200</v>
      </c>
      <c r="E428">
        <v>9.8941700009163469E-2</v>
      </c>
      <c r="F428">
        <v>0</v>
      </c>
      <c r="G428" t="b">
        <v>0</v>
      </c>
    </row>
    <row r="429" spans="1:7" x14ac:dyDescent="0.3">
      <c r="A429">
        <v>3</v>
      </c>
      <c r="B429" s="1" t="s">
        <v>10</v>
      </c>
      <c r="C429">
        <v>200</v>
      </c>
      <c r="D429">
        <v>1200</v>
      </c>
      <c r="E429">
        <v>2.5429299988900311E-2</v>
      </c>
      <c r="F429">
        <v>0</v>
      </c>
      <c r="G429" t="b">
        <v>0</v>
      </c>
    </row>
    <row r="430" spans="1:7" x14ac:dyDescent="0.3">
      <c r="A430">
        <v>3</v>
      </c>
      <c r="B430" s="1" t="s">
        <v>7</v>
      </c>
      <c r="C430">
        <v>400</v>
      </c>
      <c r="D430">
        <v>1200</v>
      </c>
      <c r="E430">
        <v>4.2511999927228317E-3</v>
      </c>
      <c r="F430">
        <v>0</v>
      </c>
      <c r="G430" t="b">
        <v>0</v>
      </c>
    </row>
    <row r="431" spans="1:7" x14ac:dyDescent="0.3">
      <c r="A431">
        <v>3</v>
      </c>
      <c r="B431" s="1" t="s">
        <v>8</v>
      </c>
      <c r="C431">
        <v>400</v>
      </c>
      <c r="D431">
        <v>1200</v>
      </c>
      <c r="G431" t="b">
        <v>1</v>
      </c>
    </row>
    <row r="432" spans="1:7" x14ac:dyDescent="0.3">
      <c r="A432">
        <v>3</v>
      </c>
      <c r="B432" s="1" t="s">
        <v>9</v>
      </c>
      <c r="C432">
        <v>400</v>
      </c>
      <c r="D432">
        <v>1200</v>
      </c>
      <c r="E432">
        <v>0.20329659999697469</v>
      </c>
      <c r="F432">
        <v>0</v>
      </c>
      <c r="G432" t="b">
        <v>0</v>
      </c>
    </row>
    <row r="433" spans="1:7" x14ac:dyDescent="0.3">
      <c r="A433">
        <v>3</v>
      </c>
      <c r="B433" s="1" t="s">
        <v>10</v>
      </c>
      <c r="C433">
        <v>400</v>
      </c>
      <c r="D433">
        <v>1200</v>
      </c>
      <c r="E433">
        <v>5.4530200010049157E-2</v>
      </c>
      <c r="F433">
        <v>0</v>
      </c>
      <c r="G433" t="b">
        <v>0</v>
      </c>
    </row>
    <row r="434" spans="1:7" x14ac:dyDescent="0.3">
      <c r="A434">
        <v>3</v>
      </c>
      <c r="B434" s="1" t="s">
        <v>7</v>
      </c>
      <c r="C434">
        <v>10</v>
      </c>
      <c r="D434">
        <v>3600</v>
      </c>
      <c r="E434">
        <v>1.7700003809295595E-5</v>
      </c>
      <c r="F434">
        <v>93</v>
      </c>
      <c r="G434" t="b">
        <v>0</v>
      </c>
    </row>
    <row r="435" spans="1:7" x14ac:dyDescent="0.3">
      <c r="A435">
        <v>3</v>
      </c>
      <c r="B435" s="1" t="s">
        <v>8</v>
      </c>
      <c r="C435">
        <v>10</v>
      </c>
      <c r="D435">
        <v>3600</v>
      </c>
      <c r="E435">
        <v>5.7970000489149243E-4</v>
      </c>
      <c r="F435">
        <v>93</v>
      </c>
      <c r="G435" t="b">
        <v>0</v>
      </c>
    </row>
    <row r="436" spans="1:7" x14ac:dyDescent="0.3">
      <c r="A436">
        <v>3</v>
      </c>
      <c r="B436" s="1" t="s">
        <v>9</v>
      </c>
      <c r="C436">
        <v>10</v>
      </c>
      <c r="D436">
        <v>3600</v>
      </c>
      <c r="E436">
        <v>6.8630000168923289E-4</v>
      </c>
      <c r="F436">
        <v>93</v>
      </c>
      <c r="G436" t="b">
        <v>0</v>
      </c>
    </row>
    <row r="437" spans="1:7" x14ac:dyDescent="0.3">
      <c r="A437">
        <v>3</v>
      </c>
      <c r="B437" s="1" t="s">
        <v>10</v>
      </c>
      <c r="C437">
        <v>10</v>
      </c>
      <c r="D437">
        <v>3600</v>
      </c>
      <c r="E437">
        <v>6.5729999914765358E-4</v>
      </c>
      <c r="F437">
        <v>93</v>
      </c>
      <c r="G437" t="b">
        <v>0</v>
      </c>
    </row>
    <row r="438" spans="1:7" x14ac:dyDescent="0.3">
      <c r="A438">
        <v>3</v>
      </c>
      <c r="B438" s="1" t="s">
        <v>7</v>
      </c>
      <c r="C438">
        <v>30</v>
      </c>
      <c r="D438">
        <v>3600</v>
      </c>
      <c r="E438">
        <v>7.435000006807968E-4</v>
      </c>
      <c r="F438">
        <v>0</v>
      </c>
      <c r="G438" t="b">
        <v>0</v>
      </c>
    </row>
    <row r="439" spans="1:7" x14ac:dyDescent="0.3">
      <c r="A439">
        <v>3</v>
      </c>
      <c r="B439" s="1" t="s">
        <v>8</v>
      </c>
      <c r="C439">
        <v>30</v>
      </c>
      <c r="D439">
        <v>3600</v>
      </c>
      <c r="G439" t="b">
        <v>1</v>
      </c>
    </row>
    <row r="440" spans="1:7" x14ac:dyDescent="0.3">
      <c r="A440">
        <v>3</v>
      </c>
      <c r="B440" s="1" t="s">
        <v>9</v>
      </c>
      <c r="C440">
        <v>30</v>
      </c>
      <c r="D440">
        <v>3600</v>
      </c>
      <c r="E440">
        <v>4.4503500001155771E-2</v>
      </c>
      <c r="F440">
        <v>0</v>
      </c>
      <c r="G440" t="b">
        <v>0</v>
      </c>
    </row>
    <row r="441" spans="1:7" x14ac:dyDescent="0.3">
      <c r="A441">
        <v>3</v>
      </c>
      <c r="B441" s="1" t="s">
        <v>10</v>
      </c>
      <c r="C441">
        <v>30</v>
      </c>
      <c r="D441">
        <v>3600</v>
      </c>
      <c r="E441">
        <v>1.4431599993258715E-2</v>
      </c>
      <c r="F441">
        <v>0</v>
      </c>
      <c r="G441" t="b">
        <v>0</v>
      </c>
    </row>
    <row r="442" spans="1:7" x14ac:dyDescent="0.3">
      <c r="A442">
        <v>3</v>
      </c>
      <c r="B442" s="1" t="s">
        <v>7</v>
      </c>
      <c r="C442">
        <v>50</v>
      </c>
      <c r="D442">
        <v>3600</v>
      </c>
      <c r="E442">
        <v>1.6339999274350703E-4</v>
      </c>
      <c r="F442">
        <v>0</v>
      </c>
      <c r="G442" t="b">
        <v>0</v>
      </c>
    </row>
    <row r="443" spans="1:7" x14ac:dyDescent="0.3">
      <c r="A443">
        <v>3</v>
      </c>
      <c r="B443" s="1" t="s">
        <v>8</v>
      </c>
      <c r="C443">
        <v>50</v>
      </c>
      <c r="D443">
        <v>3600</v>
      </c>
      <c r="G443" t="b">
        <v>1</v>
      </c>
    </row>
    <row r="444" spans="1:7" x14ac:dyDescent="0.3">
      <c r="A444">
        <v>3</v>
      </c>
      <c r="B444" s="1" t="s">
        <v>9</v>
      </c>
      <c r="C444">
        <v>50</v>
      </c>
      <c r="D444">
        <v>3600</v>
      </c>
      <c r="E444">
        <v>7.079689999227412E-2</v>
      </c>
      <c r="F444">
        <v>0</v>
      </c>
      <c r="G444" t="b">
        <v>0</v>
      </c>
    </row>
    <row r="445" spans="1:7" x14ac:dyDescent="0.3">
      <c r="A445">
        <v>3</v>
      </c>
      <c r="B445" s="1" t="s">
        <v>10</v>
      </c>
      <c r="C445">
        <v>50</v>
      </c>
      <c r="D445">
        <v>3600</v>
      </c>
      <c r="E445">
        <v>2.2628699996857904E-2</v>
      </c>
      <c r="F445">
        <v>0</v>
      </c>
      <c r="G445" t="b">
        <v>0</v>
      </c>
    </row>
    <row r="446" spans="1:7" x14ac:dyDescent="0.3">
      <c r="A446">
        <v>3</v>
      </c>
      <c r="B446" s="1" t="s">
        <v>7</v>
      </c>
      <c r="C446">
        <v>100</v>
      </c>
      <c r="D446">
        <v>3600</v>
      </c>
      <c r="E446">
        <v>1.0140000085812062E-4</v>
      </c>
      <c r="F446">
        <v>0</v>
      </c>
      <c r="G446" t="b">
        <v>0</v>
      </c>
    </row>
    <row r="447" spans="1:7" x14ac:dyDescent="0.3">
      <c r="A447">
        <v>3</v>
      </c>
      <c r="B447" s="1" t="s">
        <v>8</v>
      </c>
      <c r="C447">
        <v>100</v>
      </c>
      <c r="D447">
        <v>3600</v>
      </c>
      <c r="G447" t="b">
        <v>1</v>
      </c>
    </row>
    <row r="448" spans="1:7" x14ac:dyDescent="0.3">
      <c r="A448">
        <v>3</v>
      </c>
      <c r="B448" s="1" t="s">
        <v>9</v>
      </c>
      <c r="C448">
        <v>100</v>
      </c>
      <c r="D448">
        <v>3600</v>
      </c>
      <c r="E448">
        <v>0.20781689998693764</v>
      </c>
      <c r="F448">
        <v>0</v>
      </c>
      <c r="G448" t="b">
        <v>0</v>
      </c>
    </row>
    <row r="449" spans="1:7" x14ac:dyDescent="0.3">
      <c r="A449">
        <v>3</v>
      </c>
      <c r="B449" s="1" t="s">
        <v>10</v>
      </c>
      <c r="C449">
        <v>100</v>
      </c>
      <c r="D449">
        <v>3600</v>
      </c>
      <c r="E449">
        <v>7.6891900011105463E-2</v>
      </c>
      <c r="F449">
        <v>0</v>
      </c>
      <c r="G449" t="b">
        <v>0</v>
      </c>
    </row>
    <row r="450" spans="1:7" x14ac:dyDescent="0.3">
      <c r="A450">
        <v>3</v>
      </c>
      <c r="B450" s="1" t="s">
        <v>7</v>
      </c>
      <c r="C450">
        <v>200</v>
      </c>
      <c r="D450">
        <v>3600</v>
      </c>
      <c r="E450">
        <v>2.5830000231508166E-4</v>
      </c>
      <c r="F450">
        <v>0</v>
      </c>
      <c r="G450" t="b">
        <v>0</v>
      </c>
    </row>
    <row r="451" spans="1:7" x14ac:dyDescent="0.3">
      <c r="A451">
        <v>3</v>
      </c>
      <c r="B451" s="1" t="s">
        <v>8</v>
      </c>
      <c r="C451">
        <v>200</v>
      </c>
      <c r="D451">
        <v>3600</v>
      </c>
      <c r="G451" t="b">
        <v>1</v>
      </c>
    </row>
    <row r="452" spans="1:7" x14ac:dyDescent="0.3">
      <c r="A452">
        <v>3</v>
      </c>
      <c r="B452" s="1" t="s">
        <v>9</v>
      </c>
      <c r="C452">
        <v>200</v>
      </c>
      <c r="D452">
        <v>3600</v>
      </c>
      <c r="E452">
        <v>0.58520139999745879</v>
      </c>
      <c r="F452">
        <v>0</v>
      </c>
      <c r="G452" t="b">
        <v>0</v>
      </c>
    </row>
    <row r="453" spans="1:7" x14ac:dyDescent="0.3">
      <c r="A453">
        <v>3</v>
      </c>
      <c r="B453" s="1" t="s">
        <v>10</v>
      </c>
      <c r="C453">
        <v>200</v>
      </c>
      <c r="D453">
        <v>3600</v>
      </c>
      <c r="E453">
        <v>0.19955810000828933</v>
      </c>
      <c r="F453">
        <v>0</v>
      </c>
      <c r="G453" t="b">
        <v>0</v>
      </c>
    </row>
    <row r="454" spans="1:7" x14ac:dyDescent="0.3">
      <c r="A454">
        <v>3</v>
      </c>
      <c r="B454" s="1" t="s">
        <v>7</v>
      </c>
      <c r="C454">
        <v>400</v>
      </c>
      <c r="D454">
        <v>3600</v>
      </c>
      <c r="E454">
        <v>3.7629999860655516E-4</v>
      </c>
      <c r="F454">
        <v>0</v>
      </c>
      <c r="G454" t="b">
        <v>0</v>
      </c>
    </row>
    <row r="455" spans="1:7" x14ac:dyDescent="0.3">
      <c r="A455">
        <v>3</v>
      </c>
      <c r="B455" s="1" t="s">
        <v>8</v>
      </c>
      <c r="C455">
        <v>400</v>
      </c>
      <c r="D455">
        <v>3600</v>
      </c>
      <c r="G455" t="b">
        <v>1</v>
      </c>
    </row>
    <row r="456" spans="1:7" x14ac:dyDescent="0.3">
      <c r="A456">
        <v>3</v>
      </c>
      <c r="B456" s="1" t="s">
        <v>9</v>
      </c>
      <c r="C456">
        <v>400</v>
      </c>
      <c r="D456">
        <v>3600</v>
      </c>
      <c r="E456">
        <v>1.0389460000005784</v>
      </c>
      <c r="F456">
        <v>0</v>
      </c>
      <c r="G456" t="b">
        <v>0</v>
      </c>
    </row>
    <row r="457" spans="1:7" x14ac:dyDescent="0.3">
      <c r="A457">
        <v>3</v>
      </c>
      <c r="B457" s="1" t="s">
        <v>10</v>
      </c>
      <c r="C457">
        <v>400</v>
      </c>
      <c r="D457">
        <v>3600</v>
      </c>
      <c r="E457">
        <v>0.33493749999615829</v>
      </c>
      <c r="F457">
        <v>0</v>
      </c>
      <c r="G457" t="b">
        <v>0</v>
      </c>
    </row>
    <row r="458" spans="1:7" x14ac:dyDescent="0.3">
      <c r="A458">
        <v>3</v>
      </c>
      <c r="B458" s="1" t="s">
        <v>7</v>
      </c>
      <c r="C458">
        <v>10</v>
      </c>
      <c r="D458">
        <v>7200</v>
      </c>
      <c r="E458">
        <v>2.7600006433203816E-5</v>
      </c>
      <c r="F458">
        <v>5071</v>
      </c>
      <c r="G458" t="b">
        <v>0</v>
      </c>
    </row>
    <row r="459" spans="1:7" x14ac:dyDescent="0.3">
      <c r="A459">
        <v>3</v>
      </c>
      <c r="B459" s="1" t="s">
        <v>8</v>
      </c>
      <c r="C459">
        <v>10</v>
      </c>
      <c r="D459">
        <v>7200</v>
      </c>
      <c r="E459">
        <v>5.2699999650940299E-4</v>
      </c>
      <c r="F459">
        <v>5071</v>
      </c>
      <c r="G459" t="b">
        <v>0</v>
      </c>
    </row>
    <row r="460" spans="1:7" x14ac:dyDescent="0.3">
      <c r="A460">
        <v>3</v>
      </c>
      <c r="B460" s="1" t="s">
        <v>9</v>
      </c>
      <c r="C460">
        <v>10</v>
      </c>
      <c r="D460">
        <v>7200</v>
      </c>
      <c r="E460">
        <v>5.2120001055300236E-4</v>
      </c>
      <c r="F460">
        <v>5163</v>
      </c>
      <c r="G460" t="b">
        <v>0</v>
      </c>
    </row>
    <row r="461" spans="1:7" x14ac:dyDescent="0.3">
      <c r="A461">
        <v>3</v>
      </c>
      <c r="B461" s="1" t="s">
        <v>10</v>
      </c>
      <c r="C461">
        <v>10</v>
      </c>
      <c r="D461">
        <v>7200</v>
      </c>
      <c r="E461">
        <v>3.5639999259728938E-4</v>
      </c>
      <c r="F461">
        <v>5071</v>
      </c>
      <c r="G461" t="b">
        <v>0</v>
      </c>
    </row>
    <row r="462" spans="1:7" x14ac:dyDescent="0.3">
      <c r="A462">
        <v>3</v>
      </c>
      <c r="B462" s="1" t="s">
        <v>7</v>
      </c>
      <c r="C462">
        <v>30</v>
      </c>
      <c r="D462">
        <v>7200</v>
      </c>
      <c r="E462">
        <v>9.5999988843686879E-5</v>
      </c>
      <c r="F462">
        <v>0</v>
      </c>
      <c r="G462" t="b">
        <v>0</v>
      </c>
    </row>
    <row r="463" spans="1:7" x14ac:dyDescent="0.3">
      <c r="A463">
        <v>3</v>
      </c>
      <c r="B463" s="1" t="s">
        <v>8</v>
      </c>
      <c r="C463">
        <v>30</v>
      </c>
      <c r="D463">
        <v>7200</v>
      </c>
      <c r="G463" t="b">
        <v>1</v>
      </c>
    </row>
    <row r="464" spans="1:7" x14ac:dyDescent="0.3">
      <c r="A464">
        <v>3</v>
      </c>
      <c r="B464" s="1" t="s">
        <v>9</v>
      </c>
      <c r="C464">
        <v>30</v>
      </c>
      <c r="D464">
        <v>7200</v>
      </c>
      <c r="E464">
        <v>6.0041800010367297E-2</v>
      </c>
      <c r="F464">
        <v>2</v>
      </c>
      <c r="G464" t="b">
        <v>0</v>
      </c>
    </row>
    <row r="465" spans="1:7" x14ac:dyDescent="0.3">
      <c r="A465">
        <v>3</v>
      </c>
      <c r="B465" s="1" t="s">
        <v>10</v>
      </c>
      <c r="C465">
        <v>30</v>
      </c>
      <c r="D465">
        <v>7200</v>
      </c>
      <c r="E465">
        <v>1.6950099990935996E-2</v>
      </c>
      <c r="F465">
        <v>0</v>
      </c>
      <c r="G465" t="b">
        <v>0</v>
      </c>
    </row>
    <row r="466" spans="1:7" x14ac:dyDescent="0.3">
      <c r="A466">
        <v>3</v>
      </c>
      <c r="B466" s="1" t="s">
        <v>7</v>
      </c>
      <c r="C466">
        <v>50</v>
      </c>
      <c r="D466">
        <v>7200</v>
      </c>
      <c r="E466">
        <v>3.8630000199191272E-4</v>
      </c>
      <c r="F466">
        <v>0</v>
      </c>
      <c r="G466" t="b">
        <v>0</v>
      </c>
    </row>
    <row r="467" spans="1:7" x14ac:dyDescent="0.3">
      <c r="A467">
        <v>3</v>
      </c>
      <c r="B467" s="1" t="s">
        <v>8</v>
      </c>
      <c r="C467">
        <v>50</v>
      </c>
      <c r="D467">
        <v>7200</v>
      </c>
      <c r="G467" t="b">
        <v>1</v>
      </c>
    </row>
    <row r="468" spans="1:7" x14ac:dyDescent="0.3">
      <c r="A468">
        <v>3</v>
      </c>
      <c r="B468" s="1" t="s">
        <v>9</v>
      </c>
      <c r="C468">
        <v>50</v>
      </c>
      <c r="D468">
        <v>7200</v>
      </c>
      <c r="E468">
        <v>0.15996750000340398</v>
      </c>
      <c r="F468">
        <v>0</v>
      </c>
      <c r="G468" t="b">
        <v>0</v>
      </c>
    </row>
    <row r="469" spans="1:7" x14ac:dyDescent="0.3">
      <c r="A469">
        <v>3</v>
      </c>
      <c r="B469" s="1" t="s">
        <v>10</v>
      </c>
      <c r="C469">
        <v>50</v>
      </c>
      <c r="D469">
        <v>7200</v>
      </c>
      <c r="E469">
        <v>5.933970000478439E-2</v>
      </c>
      <c r="F469">
        <v>0</v>
      </c>
      <c r="G469" t="b">
        <v>0</v>
      </c>
    </row>
    <row r="470" spans="1:7" x14ac:dyDescent="0.3">
      <c r="A470">
        <v>3</v>
      </c>
      <c r="B470" s="1" t="s">
        <v>7</v>
      </c>
      <c r="C470">
        <v>100</v>
      </c>
      <c r="D470">
        <v>7200</v>
      </c>
      <c r="E470">
        <v>7.2590001218486577E-4</v>
      </c>
      <c r="F470">
        <v>0</v>
      </c>
      <c r="G470" t="b">
        <v>0</v>
      </c>
    </row>
    <row r="471" spans="1:7" x14ac:dyDescent="0.3">
      <c r="A471">
        <v>3</v>
      </c>
      <c r="B471" s="1" t="s">
        <v>8</v>
      </c>
      <c r="C471">
        <v>100</v>
      </c>
      <c r="D471">
        <v>7200</v>
      </c>
      <c r="G471" t="b">
        <v>1</v>
      </c>
    </row>
    <row r="472" spans="1:7" x14ac:dyDescent="0.3">
      <c r="A472">
        <v>3</v>
      </c>
      <c r="B472" s="1" t="s">
        <v>9</v>
      </c>
      <c r="C472">
        <v>100</v>
      </c>
      <c r="D472">
        <v>7200</v>
      </c>
      <c r="E472">
        <v>0.51571570000669453</v>
      </c>
      <c r="F472">
        <v>0</v>
      </c>
      <c r="G472" t="b">
        <v>0</v>
      </c>
    </row>
    <row r="473" spans="1:7" x14ac:dyDescent="0.3">
      <c r="A473">
        <v>3</v>
      </c>
      <c r="B473" s="1" t="s">
        <v>10</v>
      </c>
      <c r="C473">
        <v>100</v>
      </c>
      <c r="D473">
        <v>7200</v>
      </c>
      <c r="E473">
        <v>0.20452920001116581</v>
      </c>
      <c r="F473">
        <v>0</v>
      </c>
      <c r="G473" t="b">
        <v>0</v>
      </c>
    </row>
    <row r="474" spans="1:7" x14ac:dyDescent="0.3">
      <c r="A474">
        <v>3</v>
      </c>
      <c r="B474" s="1" t="s">
        <v>7</v>
      </c>
      <c r="C474">
        <v>200</v>
      </c>
      <c r="D474">
        <v>7200</v>
      </c>
      <c r="E474">
        <v>5.8130000252276659E-4</v>
      </c>
      <c r="F474">
        <v>0</v>
      </c>
      <c r="G474" t="b">
        <v>0</v>
      </c>
    </row>
    <row r="475" spans="1:7" x14ac:dyDescent="0.3">
      <c r="A475">
        <v>3</v>
      </c>
      <c r="B475" s="1" t="s">
        <v>8</v>
      </c>
      <c r="C475">
        <v>200</v>
      </c>
      <c r="D475">
        <v>7200</v>
      </c>
      <c r="G475" t="b">
        <v>1</v>
      </c>
    </row>
    <row r="476" spans="1:7" x14ac:dyDescent="0.3">
      <c r="A476">
        <v>3</v>
      </c>
      <c r="B476" s="1" t="s">
        <v>9</v>
      </c>
      <c r="C476">
        <v>200</v>
      </c>
      <c r="D476">
        <v>7200</v>
      </c>
      <c r="E476">
        <v>1.0913659999932861</v>
      </c>
      <c r="F476">
        <v>0</v>
      </c>
      <c r="G476" t="b">
        <v>0</v>
      </c>
    </row>
    <row r="477" spans="1:7" x14ac:dyDescent="0.3">
      <c r="A477">
        <v>3</v>
      </c>
      <c r="B477" s="1" t="s">
        <v>10</v>
      </c>
      <c r="C477">
        <v>200</v>
      </c>
      <c r="D477">
        <v>7200</v>
      </c>
      <c r="E477">
        <v>0.41122470000118483</v>
      </c>
      <c r="F477">
        <v>0</v>
      </c>
      <c r="G477" t="b">
        <v>0</v>
      </c>
    </row>
    <row r="478" spans="1:7" x14ac:dyDescent="0.3">
      <c r="A478">
        <v>3</v>
      </c>
      <c r="B478" s="1" t="s">
        <v>7</v>
      </c>
      <c r="C478">
        <v>400</v>
      </c>
      <c r="D478">
        <v>7200</v>
      </c>
      <c r="E478">
        <v>5.1860000530723482E-4</v>
      </c>
      <c r="F478">
        <v>0</v>
      </c>
      <c r="G478" t="b">
        <v>0</v>
      </c>
    </row>
    <row r="479" spans="1:7" x14ac:dyDescent="0.3">
      <c r="A479">
        <v>3</v>
      </c>
      <c r="B479" s="1" t="s">
        <v>8</v>
      </c>
      <c r="C479">
        <v>400</v>
      </c>
      <c r="D479">
        <v>7200</v>
      </c>
      <c r="G479" t="b">
        <v>1</v>
      </c>
    </row>
    <row r="480" spans="1:7" x14ac:dyDescent="0.3">
      <c r="A480">
        <v>3</v>
      </c>
      <c r="B480" s="1" t="s">
        <v>9</v>
      </c>
      <c r="C480">
        <v>400</v>
      </c>
      <c r="D480">
        <v>7200</v>
      </c>
      <c r="E480">
        <v>4.1035292000015033</v>
      </c>
      <c r="F480">
        <v>0</v>
      </c>
      <c r="G480" t="b">
        <v>0</v>
      </c>
    </row>
    <row r="481" spans="1:7" x14ac:dyDescent="0.3">
      <c r="A481">
        <v>3</v>
      </c>
      <c r="B481" s="1" t="s">
        <v>10</v>
      </c>
      <c r="C481">
        <v>400</v>
      </c>
      <c r="D481">
        <v>7200</v>
      </c>
      <c r="E481">
        <v>1.0139569000020856</v>
      </c>
      <c r="F481">
        <v>0</v>
      </c>
      <c r="G481" t="b">
        <v>0</v>
      </c>
    </row>
    <row r="482" spans="1:7" x14ac:dyDescent="0.3">
      <c r="A482">
        <v>4</v>
      </c>
      <c r="B482" s="1" t="s">
        <v>7</v>
      </c>
      <c r="C482">
        <v>10</v>
      </c>
      <c r="D482">
        <v>300</v>
      </c>
      <c r="G482" t="b">
        <v>1</v>
      </c>
    </row>
    <row r="483" spans="1:7" x14ac:dyDescent="0.3">
      <c r="A483">
        <v>4</v>
      </c>
      <c r="B483" s="1" t="s">
        <v>8</v>
      </c>
      <c r="C483">
        <v>10</v>
      </c>
      <c r="D483">
        <v>300</v>
      </c>
      <c r="E483">
        <v>7.3500006692484021E-5</v>
      </c>
      <c r="F483">
        <v>0</v>
      </c>
      <c r="G483" t="b">
        <v>0</v>
      </c>
    </row>
    <row r="484" spans="1:7" x14ac:dyDescent="0.3">
      <c r="A484">
        <v>4</v>
      </c>
      <c r="B484" s="1" t="s">
        <v>9</v>
      </c>
      <c r="C484">
        <v>10</v>
      </c>
      <c r="D484">
        <v>300</v>
      </c>
      <c r="E484">
        <v>5.499999679159373E-5</v>
      </c>
      <c r="F484">
        <v>0</v>
      </c>
      <c r="G484" t="b">
        <v>0</v>
      </c>
    </row>
    <row r="485" spans="1:7" x14ac:dyDescent="0.3">
      <c r="A485">
        <v>4</v>
      </c>
      <c r="B485" s="1" t="s">
        <v>10</v>
      </c>
      <c r="C485">
        <v>10</v>
      </c>
      <c r="D485">
        <v>300</v>
      </c>
      <c r="E485">
        <v>6.3899991801008582E-5</v>
      </c>
      <c r="F485">
        <v>0</v>
      </c>
      <c r="G485" t="b">
        <v>0</v>
      </c>
    </row>
    <row r="486" spans="1:7" x14ac:dyDescent="0.3">
      <c r="A486">
        <v>4</v>
      </c>
      <c r="B486" s="1" t="s">
        <v>7</v>
      </c>
      <c r="C486">
        <v>30</v>
      </c>
      <c r="D486">
        <v>300</v>
      </c>
      <c r="G486" t="b">
        <v>1</v>
      </c>
    </row>
    <row r="487" spans="1:7" x14ac:dyDescent="0.3">
      <c r="A487">
        <v>4</v>
      </c>
      <c r="B487" s="1" t="s">
        <v>8</v>
      </c>
      <c r="C487">
        <v>30</v>
      </c>
      <c r="D487">
        <v>300</v>
      </c>
      <c r="E487">
        <v>1.8798999954015017E-3</v>
      </c>
      <c r="F487">
        <v>0</v>
      </c>
      <c r="G487" t="b">
        <v>0</v>
      </c>
    </row>
    <row r="488" spans="1:7" x14ac:dyDescent="0.3">
      <c r="A488">
        <v>4</v>
      </c>
      <c r="B488" s="1" t="s">
        <v>9</v>
      </c>
      <c r="C488">
        <v>30</v>
      </c>
      <c r="D488">
        <v>300</v>
      </c>
      <c r="E488">
        <v>2.0540000696200877E-4</v>
      </c>
      <c r="F488">
        <v>0</v>
      </c>
      <c r="G488" t="b">
        <v>0</v>
      </c>
    </row>
    <row r="489" spans="1:7" x14ac:dyDescent="0.3">
      <c r="A489">
        <v>4</v>
      </c>
      <c r="B489" s="1" t="s">
        <v>10</v>
      </c>
      <c r="C489">
        <v>30</v>
      </c>
      <c r="D489">
        <v>300</v>
      </c>
      <c r="E489">
        <v>1.8370000179857016E-4</v>
      </c>
      <c r="F489">
        <v>0</v>
      </c>
      <c r="G489" t="b">
        <v>0</v>
      </c>
    </row>
    <row r="490" spans="1:7" x14ac:dyDescent="0.3">
      <c r="A490">
        <v>4</v>
      </c>
      <c r="B490" s="1" t="s">
        <v>7</v>
      </c>
      <c r="C490">
        <v>50</v>
      </c>
      <c r="D490">
        <v>300</v>
      </c>
      <c r="G490" t="b">
        <v>1</v>
      </c>
    </row>
    <row r="491" spans="1:7" x14ac:dyDescent="0.3">
      <c r="A491">
        <v>4</v>
      </c>
      <c r="B491" s="1" t="s">
        <v>8</v>
      </c>
      <c r="C491">
        <v>50</v>
      </c>
      <c r="D491">
        <v>300</v>
      </c>
      <c r="E491">
        <v>7.4347999907331541E-3</v>
      </c>
      <c r="F491">
        <v>0</v>
      </c>
      <c r="G491" t="b">
        <v>0</v>
      </c>
    </row>
    <row r="492" spans="1:7" x14ac:dyDescent="0.3">
      <c r="A492">
        <v>4</v>
      </c>
      <c r="B492" s="1" t="s">
        <v>9</v>
      </c>
      <c r="C492">
        <v>50</v>
      </c>
      <c r="D492">
        <v>300</v>
      </c>
      <c r="E492">
        <v>4.6679998922627419E-4</v>
      </c>
      <c r="F492">
        <v>0</v>
      </c>
      <c r="G492" t="b">
        <v>0</v>
      </c>
    </row>
    <row r="493" spans="1:7" x14ac:dyDescent="0.3">
      <c r="A493">
        <v>4</v>
      </c>
      <c r="B493" s="1" t="s">
        <v>10</v>
      </c>
      <c r="C493">
        <v>50</v>
      </c>
      <c r="D493">
        <v>300</v>
      </c>
      <c r="E493">
        <v>4.8380000225733966E-4</v>
      </c>
      <c r="F493">
        <v>0</v>
      </c>
      <c r="G493" t="b">
        <v>0</v>
      </c>
    </row>
    <row r="494" spans="1:7" x14ac:dyDescent="0.3">
      <c r="A494">
        <v>4</v>
      </c>
      <c r="B494" s="1" t="s">
        <v>7</v>
      </c>
      <c r="C494">
        <v>100</v>
      </c>
      <c r="D494">
        <v>300</v>
      </c>
      <c r="G494" t="b">
        <v>1</v>
      </c>
    </row>
    <row r="495" spans="1:7" x14ac:dyDescent="0.3">
      <c r="A495">
        <v>4</v>
      </c>
      <c r="B495" s="1" t="s">
        <v>8</v>
      </c>
      <c r="C495">
        <v>100</v>
      </c>
      <c r="D495">
        <v>300</v>
      </c>
      <c r="E495">
        <v>0.4344965000054799</v>
      </c>
      <c r="F495">
        <v>0</v>
      </c>
      <c r="G495" t="b">
        <v>0</v>
      </c>
    </row>
    <row r="496" spans="1:7" x14ac:dyDescent="0.3">
      <c r="A496">
        <v>4</v>
      </c>
      <c r="B496" s="1" t="s">
        <v>9</v>
      </c>
      <c r="C496">
        <v>100</v>
      </c>
      <c r="D496">
        <v>300</v>
      </c>
      <c r="E496">
        <v>3.3068999910028651E-3</v>
      </c>
      <c r="F496">
        <v>0</v>
      </c>
      <c r="G496" t="b">
        <v>0</v>
      </c>
    </row>
    <row r="497" spans="1:7" x14ac:dyDescent="0.3">
      <c r="A497">
        <v>4</v>
      </c>
      <c r="B497" s="1" t="s">
        <v>10</v>
      </c>
      <c r="C497">
        <v>100</v>
      </c>
      <c r="D497">
        <v>300</v>
      </c>
      <c r="E497">
        <v>1.4698000013595447E-3</v>
      </c>
      <c r="F497">
        <v>0</v>
      </c>
      <c r="G497" t="b">
        <v>0</v>
      </c>
    </row>
    <row r="498" spans="1:7" x14ac:dyDescent="0.3">
      <c r="A498">
        <v>4</v>
      </c>
      <c r="B498" s="1" t="s">
        <v>7</v>
      </c>
      <c r="C498">
        <v>200</v>
      </c>
      <c r="D498">
        <v>300</v>
      </c>
      <c r="E498">
        <v>5.8130000252276659E-4</v>
      </c>
      <c r="F498">
        <v>0</v>
      </c>
      <c r="G498" t="b">
        <v>0</v>
      </c>
    </row>
    <row r="499" spans="1:7" x14ac:dyDescent="0.3">
      <c r="A499">
        <v>4</v>
      </c>
      <c r="B499" s="1" t="s">
        <v>8</v>
      </c>
      <c r="C499">
        <v>200</v>
      </c>
      <c r="D499">
        <v>300</v>
      </c>
      <c r="G499" t="b">
        <v>1</v>
      </c>
    </row>
    <row r="500" spans="1:7" x14ac:dyDescent="0.3">
      <c r="A500">
        <v>4</v>
      </c>
      <c r="B500" s="1" t="s">
        <v>9</v>
      </c>
      <c r="C500">
        <v>200</v>
      </c>
      <c r="D500">
        <v>300</v>
      </c>
      <c r="E500">
        <v>6.7669999989448115E-3</v>
      </c>
      <c r="F500">
        <v>0</v>
      </c>
      <c r="G500" t="b">
        <v>0</v>
      </c>
    </row>
    <row r="501" spans="1:7" x14ac:dyDescent="0.3">
      <c r="A501">
        <v>4</v>
      </c>
      <c r="B501" s="1" t="s">
        <v>10</v>
      </c>
      <c r="C501">
        <v>200</v>
      </c>
      <c r="D501">
        <v>300</v>
      </c>
      <c r="E501">
        <v>4.1999999957624823E-3</v>
      </c>
      <c r="F501">
        <v>0</v>
      </c>
      <c r="G501" t="b">
        <v>0</v>
      </c>
    </row>
    <row r="502" spans="1:7" x14ac:dyDescent="0.3">
      <c r="A502">
        <v>4</v>
      </c>
      <c r="B502" s="1" t="s">
        <v>7</v>
      </c>
      <c r="C502">
        <v>400</v>
      </c>
      <c r="D502">
        <v>300</v>
      </c>
      <c r="G502" t="b">
        <v>1</v>
      </c>
    </row>
    <row r="503" spans="1:7" x14ac:dyDescent="0.3">
      <c r="A503">
        <v>4</v>
      </c>
      <c r="B503" s="1" t="s">
        <v>8</v>
      </c>
      <c r="C503">
        <v>400</v>
      </c>
      <c r="D503">
        <v>300</v>
      </c>
      <c r="G503" t="b">
        <v>1</v>
      </c>
    </row>
    <row r="504" spans="1:7" x14ac:dyDescent="0.3">
      <c r="A504">
        <v>4</v>
      </c>
      <c r="B504" s="1" t="s">
        <v>9</v>
      </c>
      <c r="C504">
        <v>400</v>
      </c>
      <c r="D504">
        <v>300</v>
      </c>
      <c r="E504">
        <v>1.5846499998588115E-2</v>
      </c>
      <c r="F504">
        <v>0</v>
      </c>
      <c r="G504" t="b">
        <v>0</v>
      </c>
    </row>
    <row r="505" spans="1:7" x14ac:dyDescent="0.3">
      <c r="A505">
        <v>4</v>
      </c>
      <c r="B505" s="1" t="s">
        <v>10</v>
      </c>
      <c r="C505">
        <v>400</v>
      </c>
      <c r="D505">
        <v>300</v>
      </c>
      <c r="E505">
        <v>1.0109499999089167E-2</v>
      </c>
      <c r="F505">
        <v>0</v>
      </c>
      <c r="G505" t="b">
        <v>0</v>
      </c>
    </row>
    <row r="506" spans="1:7" x14ac:dyDescent="0.3">
      <c r="A506">
        <v>4</v>
      </c>
      <c r="B506" s="1" t="s">
        <v>7</v>
      </c>
      <c r="C506">
        <v>10</v>
      </c>
      <c r="D506">
        <v>600</v>
      </c>
      <c r="G506" t="b">
        <v>1</v>
      </c>
    </row>
    <row r="507" spans="1:7" x14ac:dyDescent="0.3">
      <c r="A507">
        <v>4</v>
      </c>
      <c r="B507" s="1" t="s">
        <v>8</v>
      </c>
      <c r="C507">
        <v>10</v>
      </c>
      <c r="D507">
        <v>600</v>
      </c>
      <c r="E507">
        <v>1.7139999545179307E-4</v>
      </c>
      <c r="F507">
        <v>1</v>
      </c>
      <c r="G507" t="b">
        <v>0</v>
      </c>
    </row>
    <row r="508" spans="1:7" x14ac:dyDescent="0.3">
      <c r="A508">
        <v>4</v>
      </c>
      <c r="B508" s="1" t="s">
        <v>9</v>
      </c>
      <c r="C508">
        <v>10</v>
      </c>
      <c r="D508">
        <v>600</v>
      </c>
      <c r="E508">
        <v>7.9499994171783328E-5</v>
      </c>
      <c r="F508">
        <v>1</v>
      </c>
      <c r="G508" t="b">
        <v>0</v>
      </c>
    </row>
    <row r="509" spans="1:7" x14ac:dyDescent="0.3">
      <c r="A509">
        <v>4</v>
      </c>
      <c r="B509" s="1" t="s">
        <v>10</v>
      </c>
      <c r="C509">
        <v>10</v>
      </c>
      <c r="D509">
        <v>600</v>
      </c>
      <c r="E509">
        <v>7.1099988417699933E-5</v>
      </c>
      <c r="F509">
        <v>1</v>
      </c>
      <c r="G509" t="b">
        <v>0</v>
      </c>
    </row>
    <row r="510" spans="1:7" x14ac:dyDescent="0.3">
      <c r="A510">
        <v>4</v>
      </c>
      <c r="B510" s="1" t="s">
        <v>7</v>
      </c>
      <c r="C510">
        <v>30</v>
      </c>
      <c r="D510">
        <v>600</v>
      </c>
      <c r="G510" t="b">
        <v>1</v>
      </c>
    </row>
    <row r="511" spans="1:7" x14ac:dyDescent="0.3">
      <c r="A511">
        <v>4</v>
      </c>
      <c r="B511" s="1" t="s">
        <v>8</v>
      </c>
      <c r="C511">
        <v>30</v>
      </c>
      <c r="D511">
        <v>600</v>
      </c>
      <c r="E511">
        <v>5.1764400006504729E-2</v>
      </c>
      <c r="F511">
        <v>0</v>
      </c>
      <c r="G511" t="b">
        <v>0</v>
      </c>
    </row>
    <row r="512" spans="1:7" x14ac:dyDescent="0.3">
      <c r="A512">
        <v>4</v>
      </c>
      <c r="B512" s="1" t="s">
        <v>9</v>
      </c>
      <c r="C512">
        <v>30</v>
      </c>
      <c r="D512">
        <v>600</v>
      </c>
      <c r="E512">
        <v>2.0731000113300979E-3</v>
      </c>
      <c r="F512">
        <v>0</v>
      </c>
      <c r="G512" t="b">
        <v>0</v>
      </c>
    </row>
    <row r="513" spans="1:7" x14ac:dyDescent="0.3">
      <c r="A513">
        <v>4</v>
      </c>
      <c r="B513" s="1" t="s">
        <v>10</v>
      </c>
      <c r="C513">
        <v>30</v>
      </c>
      <c r="D513">
        <v>600</v>
      </c>
      <c r="E513">
        <v>1.3914000010117888E-3</v>
      </c>
      <c r="F513">
        <v>0</v>
      </c>
      <c r="G513" t="b">
        <v>0</v>
      </c>
    </row>
    <row r="514" spans="1:7" x14ac:dyDescent="0.3">
      <c r="A514">
        <v>4</v>
      </c>
      <c r="B514" s="1" t="s">
        <v>7</v>
      </c>
      <c r="C514">
        <v>50</v>
      </c>
      <c r="D514">
        <v>600</v>
      </c>
      <c r="E514">
        <v>1.4076000079512596E-3</v>
      </c>
      <c r="F514">
        <v>0</v>
      </c>
      <c r="G514" t="b">
        <v>0</v>
      </c>
    </row>
    <row r="515" spans="1:7" x14ac:dyDescent="0.3">
      <c r="A515">
        <v>4</v>
      </c>
      <c r="B515" s="1" t="s">
        <v>8</v>
      </c>
      <c r="C515">
        <v>50</v>
      </c>
      <c r="D515">
        <v>600</v>
      </c>
      <c r="E515">
        <v>0.38771260000066832</v>
      </c>
      <c r="F515">
        <v>0</v>
      </c>
      <c r="G515" t="b">
        <v>0</v>
      </c>
    </row>
    <row r="516" spans="1:7" x14ac:dyDescent="0.3">
      <c r="A516">
        <v>4</v>
      </c>
      <c r="B516" s="1" t="s">
        <v>9</v>
      </c>
      <c r="C516">
        <v>50</v>
      </c>
      <c r="D516">
        <v>600</v>
      </c>
      <c r="E516">
        <v>4.9454999971203506E-3</v>
      </c>
      <c r="F516">
        <v>0</v>
      </c>
      <c r="G516" t="b">
        <v>0</v>
      </c>
    </row>
    <row r="517" spans="1:7" x14ac:dyDescent="0.3">
      <c r="A517">
        <v>4</v>
      </c>
      <c r="B517" s="1" t="s">
        <v>10</v>
      </c>
      <c r="C517">
        <v>50</v>
      </c>
      <c r="D517">
        <v>600</v>
      </c>
      <c r="E517">
        <v>2.1248999983072281E-3</v>
      </c>
      <c r="F517">
        <v>0</v>
      </c>
      <c r="G517" t="b">
        <v>0</v>
      </c>
    </row>
    <row r="518" spans="1:7" x14ac:dyDescent="0.3">
      <c r="A518">
        <v>4</v>
      </c>
      <c r="B518" s="1" t="s">
        <v>7</v>
      </c>
      <c r="C518">
        <v>100</v>
      </c>
      <c r="D518">
        <v>600</v>
      </c>
      <c r="E518">
        <v>1.7441999953007326E-3</v>
      </c>
      <c r="F518">
        <v>0</v>
      </c>
      <c r="G518" t="b">
        <v>0</v>
      </c>
    </row>
    <row r="519" spans="1:7" x14ac:dyDescent="0.3">
      <c r="A519">
        <v>4</v>
      </c>
      <c r="B519" s="1" t="s">
        <v>8</v>
      </c>
      <c r="C519">
        <v>100</v>
      </c>
      <c r="D519">
        <v>600</v>
      </c>
      <c r="G519" t="b">
        <v>1</v>
      </c>
    </row>
    <row r="520" spans="1:7" x14ac:dyDescent="0.3">
      <c r="A520">
        <v>4</v>
      </c>
      <c r="B520" s="1" t="s">
        <v>9</v>
      </c>
      <c r="C520">
        <v>100</v>
      </c>
      <c r="D520">
        <v>600</v>
      </c>
      <c r="E520">
        <v>1.2951099997735582E-2</v>
      </c>
      <c r="F520">
        <v>0</v>
      </c>
      <c r="G520" t="b">
        <v>0</v>
      </c>
    </row>
    <row r="521" spans="1:7" x14ac:dyDescent="0.3">
      <c r="A521">
        <v>4</v>
      </c>
      <c r="B521" s="1" t="s">
        <v>10</v>
      </c>
      <c r="C521">
        <v>100</v>
      </c>
      <c r="D521">
        <v>600</v>
      </c>
      <c r="E521">
        <v>5.1459000096656382E-3</v>
      </c>
      <c r="F521">
        <v>0</v>
      </c>
      <c r="G521" t="b">
        <v>0</v>
      </c>
    </row>
    <row r="522" spans="1:7" x14ac:dyDescent="0.3">
      <c r="A522">
        <v>4</v>
      </c>
      <c r="B522" s="1" t="s">
        <v>7</v>
      </c>
      <c r="C522">
        <v>200</v>
      </c>
      <c r="D522">
        <v>600</v>
      </c>
      <c r="E522">
        <v>1.3998999929754063E-3</v>
      </c>
      <c r="F522">
        <v>0</v>
      </c>
      <c r="G522" t="b">
        <v>0</v>
      </c>
    </row>
    <row r="523" spans="1:7" x14ac:dyDescent="0.3">
      <c r="A523">
        <v>4</v>
      </c>
      <c r="B523" s="1" t="s">
        <v>8</v>
      </c>
      <c r="C523">
        <v>200</v>
      </c>
      <c r="D523">
        <v>600</v>
      </c>
      <c r="G523" t="b">
        <v>1</v>
      </c>
    </row>
    <row r="524" spans="1:7" x14ac:dyDescent="0.3">
      <c r="A524">
        <v>4</v>
      </c>
      <c r="B524" s="1" t="s">
        <v>9</v>
      </c>
      <c r="C524">
        <v>200</v>
      </c>
      <c r="D524">
        <v>600</v>
      </c>
      <c r="E524">
        <v>5.3970499997376464E-2</v>
      </c>
      <c r="F524">
        <v>0</v>
      </c>
      <c r="G524" t="b">
        <v>0</v>
      </c>
    </row>
    <row r="525" spans="1:7" x14ac:dyDescent="0.3">
      <c r="A525">
        <v>4</v>
      </c>
      <c r="B525" s="1" t="s">
        <v>10</v>
      </c>
      <c r="C525">
        <v>200</v>
      </c>
      <c r="D525">
        <v>600</v>
      </c>
      <c r="E525">
        <v>1.5090500004589558E-2</v>
      </c>
      <c r="F525">
        <v>0</v>
      </c>
      <c r="G525" t="b">
        <v>0</v>
      </c>
    </row>
    <row r="526" spans="1:7" x14ac:dyDescent="0.3">
      <c r="A526">
        <v>4</v>
      </c>
      <c r="B526" s="1" t="s">
        <v>7</v>
      </c>
      <c r="C526">
        <v>400</v>
      </c>
      <c r="D526">
        <v>600</v>
      </c>
      <c r="E526">
        <v>1.1334200011333451E-2</v>
      </c>
      <c r="F526">
        <v>0</v>
      </c>
      <c r="G526" t="b">
        <v>0</v>
      </c>
    </row>
    <row r="527" spans="1:7" x14ac:dyDescent="0.3">
      <c r="A527">
        <v>4</v>
      </c>
      <c r="B527" s="1" t="s">
        <v>8</v>
      </c>
      <c r="C527">
        <v>400</v>
      </c>
      <c r="D527">
        <v>600</v>
      </c>
      <c r="G527" t="b">
        <v>1</v>
      </c>
    </row>
    <row r="528" spans="1:7" x14ac:dyDescent="0.3">
      <c r="A528">
        <v>4</v>
      </c>
      <c r="B528" s="1" t="s">
        <v>9</v>
      </c>
      <c r="C528">
        <v>400</v>
      </c>
      <c r="D528">
        <v>600</v>
      </c>
      <c r="E528">
        <v>0.17662870000640396</v>
      </c>
      <c r="F528">
        <v>0</v>
      </c>
      <c r="G528" t="b">
        <v>0</v>
      </c>
    </row>
    <row r="529" spans="1:7" x14ac:dyDescent="0.3">
      <c r="A529">
        <v>4</v>
      </c>
      <c r="B529" s="1" t="s">
        <v>10</v>
      </c>
      <c r="C529">
        <v>400</v>
      </c>
      <c r="D529">
        <v>600</v>
      </c>
      <c r="E529">
        <v>7.9176600003847852E-2</v>
      </c>
      <c r="F529">
        <v>0</v>
      </c>
      <c r="G529" t="b">
        <v>0</v>
      </c>
    </row>
    <row r="530" spans="1:7" x14ac:dyDescent="0.3">
      <c r="A530">
        <v>4</v>
      </c>
      <c r="B530" s="1" t="s">
        <v>7</v>
      </c>
      <c r="C530">
        <v>10</v>
      </c>
      <c r="D530">
        <v>1200</v>
      </c>
      <c r="G530" t="b">
        <v>1</v>
      </c>
    </row>
    <row r="531" spans="1:7" x14ac:dyDescent="0.3">
      <c r="A531">
        <v>4</v>
      </c>
      <c r="B531" s="1" t="s">
        <v>8</v>
      </c>
      <c r="C531">
        <v>10</v>
      </c>
      <c r="D531">
        <v>1200</v>
      </c>
      <c r="E531">
        <v>3.7169999268371612E-4</v>
      </c>
      <c r="F531">
        <v>0</v>
      </c>
      <c r="G531" t="b">
        <v>0</v>
      </c>
    </row>
    <row r="532" spans="1:7" x14ac:dyDescent="0.3">
      <c r="A532">
        <v>4</v>
      </c>
      <c r="B532" s="1" t="s">
        <v>9</v>
      </c>
      <c r="C532">
        <v>10</v>
      </c>
      <c r="D532">
        <v>1200</v>
      </c>
      <c r="E532">
        <v>3.5170000046491623E-4</v>
      </c>
      <c r="F532">
        <v>1</v>
      </c>
      <c r="G532" t="b">
        <v>0</v>
      </c>
    </row>
    <row r="533" spans="1:7" x14ac:dyDescent="0.3">
      <c r="A533">
        <v>4</v>
      </c>
      <c r="B533" s="1" t="s">
        <v>10</v>
      </c>
      <c r="C533">
        <v>10</v>
      </c>
      <c r="D533">
        <v>1200</v>
      </c>
      <c r="E533">
        <v>2.7389999013394117E-4</v>
      </c>
      <c r="F533">
        <v>1</v>
      </c>
      <c r="G533" t="b">
        <v>0</v>
      </c>
    </row>
    <row r="534" spans="1:7" x14ac:dyDescent="0.3">
      <c r="A534">
        <v>4</v>
      </c>
      <c r="B534" s="1" t="s">
        <v>7</v>
      </c>
      <c r="C534">
        <v>30</v>
      </c>
      <c r="D534">
        <v>1200</v>
      </c>
      <c r="E534">
        <v>1.429600000847131E-3</v>
      </c>
      <c r="F534">
        <v>0</v>
      </c>
      <c r="G534" t="b">
        <v>0</v>
      </c>
    </row>
    <row r="535" spans="1:7" x14ac:dyDescent="0.3">
      <c r="A535">
        <v>4</v>
      </c>
      <c r="B535" s="1" t="s">
        <v>8</v>
      </c>
      <c r="C535">
        <v>30</v>
      </c>
      <c r="D535">
        <v>1200</v>
      </c>
      <c r="E535">
        <v>0.8663203999894904</v>
      </c>
      <c r="F535">
        <v>0</v>
      </c>
      <c r="G535" t="b">
        <v>0</v>
      </c>
    </row>
    <row r="536" spans="1:7" x14ac:dyDescent="0.3">
      <c r="A536">
        <v>4</v>
      </c>
      <c r="B536" s="1" t="s">
        <v>9</v>
      </c>
      <c r="C536">
        <v>30</v>
      </c>
      <c r="D536">
        <v>1200</v>
      </c>
      <c r="E536">
        <v>5.7456000067759305E-3</v>
      </c>
      <c r="F536">
        <v>0</v>
      </c>
      <c r="G536" t="b">
        <v>0</v>
      </c>
    </row>
    <row r="537" spans="1:7" x14ac:dyDescent="0.3">
      <c r="A537">
        <v>4</v>
      </c>
      <c r="B537" s="1" t="s">
        <v>10</v>
      </c>
      <c r="C537">
        <v>30</v>
      </c>
      <c r="D537">
        <v>1200</v>
      </c>
      <c r="E537">
        <v>2.4104000040097162E-3</v>
      </c>
      <c r="F537">
        <v>0</v>
      </c>
      <c r="G537" t="b">
        <v>0</v>
      </c>
    </row>
    <row r="538" spans="1:7" x14ac:dyDescent="0.3">
      <c r="A538">
        <v>4</v>
      </c>
      <c r="B538" s="1" t="s">
        <v>7</v>
      </c>
      <c r="C538">
        <v>50</v>
      </c>
      <c r="D538">
        <v>1200</v>
      </c>
      <c r="E538">
        <v>2.5009999808389693E-4</v>
      </c>
      <c r="F538">
        <v>0</v>
      </c>
      <c r="G538" t="b">
        <v>0</v>
      </c>
    </row>
    <row r="539" spans="1:7" x14ac:dyDescent="0.3">
      <c r="A539">
        <v>4</v>
      </c>
      <c r="B539" s="1" t="s">
        <v>8</v>
      </c>
      <c r="C539">
        <v>50</v>
      </c>
      <c r="D539">
        <v>1200</v>
      </c>
      <c r="G539" t="b">
        <v>1</v>
      </c>
    </row>
    <row r="540" spans="1:7" x14ac:dyDescent="0.3">
      <c r="A540">
        <v>4</v>
      </c>
      <c r="B540" s="1" t="s">
        <v>9</v>
      </c>
      <c r="C540">
        <v>50</v>
      </c>
      <c r="D540">
        <v>1200</v>
      </c>
      <c r="E540">
        <v>1.2894999992568046E-2</v>
      </c>
      <c r="F540">
        <v>0</v>
      </c>
      <c r="G540" t="b">
        <v>0</v>
      </c>
    </row>
    <row r="541" spans="1:7" x14ac:dyDescent="0.3">
      <c r="A541">
        <v>4</v>
      </c>
      <c r="B541" s="1" t="s">
        <v>10</v>
      </c>
      <c r="C541">
        <v>50</v>
      </c>
      <c r="D541">
        <v>1200</v>
      </c>
      <c r="E541">
        <v>5.02710000728257E-3</v>
      </c>
      <c r="F541">
        <v>0</v>
      </c>
      <c r="G541" t="b">
        <v>0</v>
      </c>
    </row>
    <row r="542" spans="1:7" x14ac:dyDescent="0.3">
      <c r="A542">
        <v>4</v>
      </c>
      <c r="B542" s="1" t="s">
        <v>7</v>
      </c>
      <c r="C542">
        <v>100</v>
      </c>
      <c r="D542">
        <v>1200</v>
      </c>
      <c r="E542">
        <v>1.6090000281110406E-4</v>
      </c>
      <c r="F542">
        <v>0</v>
      </c>
      <c r="G542" t="b">
        <v>0</v>
      </c>
    </row>
    <row r="543" spans="1:7" x14ac:dyDescent="0.3">
      <c r="A543">
        <v>4</v>
      </c>
      <c r="B543" s="1" t="s">
        <v>8</v>
      </c>
      <c r="C543">
        <v>100</v>
      </c>
      <c r="D543">
        <v>1200</v>
      </c>
      <c r="G543" t="b">
        <v>1</v>
      </c>
    </row>
    <row r="544" spans="1:7" x14ac:dyDescent="0.3">
      <c r="A544">
        <v>4</v>
      </c>
      <c r="B544" s="1" t="s">
        <v>9</v>
      </c>
      <c r="C544">
        <v>100</v>
      </c>
      <c r="D544">
        <v>1200</v>
      </c>
      <c r="E544">
        <v>4.9584299995331094E-2</v>
      </c>
      <c r="F544">
        <v>0</v>
      </c>
      <c r="G544" t="b">
        <v>0</v>
      </c>
    </row>
    <row r="545" spans="1:7" x14ac:dyDescent="0.3">
      <c r="A545">
        <v>4</v>
      </c>
      <c r="B545" s="1" t="s">
        <v>10</v>
      </c>
      <c r="C545">
        <v>100</v>
      </c>
      <c r="D545">
        <v>1200</v>
      </c>
      <c r="E545">
        <v>1.634659999399446E-2</v>
      </c>
      <c r="F545">
        <v>0</v>
      </c>
      <c r="G545" t="b">
        <v>0</v>
      </c>
    </row>
    <row r="546" spans="1:7" x14ac:dyDescent="0.3">
      <c r="A546">
        <v>4</v>
      </c>
      <c r="B546" s="1" t="s">
        <v>7</v>
      </c>
      <c r="C546">
        <v>200</v>
      </c>
      <c r="D546">
        <v>1200</v>
      </c>
      <c r="E546">
        <v>1.3669999316334724E-4</v>
      </c>
      <c r="F546">
        <v>0</v>
      </c>
      <c r="G546" t="b">
        <v>0</v>
      </c>
    </row>
    <row r="547" spans="1:7" x14ac:dyDescent="0.3">
      <c r="A547">
        <v>4</v>
      </c>
      <c r="B547" s="1" t="s">
        <v>8</v>
      </c>
      <c r="C547">
        <v>200</v>
      </c>
      <c r="D547">
        <v>1200</v>
      </c>
      <c r="G547" t="b">
        <v>1</v>
      </c>
    </row>
    <row r="548" spans="1:7" x14ac:dyDescent="0.3">
      <c r="A548">
        <v>4</v>
      </c>
      <c r="B548" s="1" t="s">
        <v>9</v>
      </c>
      <c r="C548">
        <v>200</v>
      </c>
      <c r="D548">
        <v>1200</v>
      </c>
      <c r="E548">
        <v>8.1556000004638918E-2</v>
      </c>
      <c r="F548">
        <v>0</v>
      </c>
      <c r="G548" t="b">
        <v>0</v>
      </c>
    </row>
    <row r="549" spans="1:7" x14ac:dyDescent="0.3">
      <c r="A549">
        <v>4</v>
      </c>
      <c r="B549" s="1" t="s">
        <v>10</v>
      </c>
      <c r="C549">
        <v>200</v>
      </c>
      <c r="D549">
        <v>1200</v>
      </c>
      <c r="E549">
        <v>2.4666099998285063E-2</v>
      </c>
      <c r="F549">
        <v>0</v>
      </c>
      <c r="G549" t="b">
        <v>0</v>
      </c>
    </row>
    <row r="550" spans="1:7" x14ac:dyDescent="0.3">
      <c r="A550">
        <v>4</v>
      </c>
      <c r="B550" s="1" t="s">
        <v>7</v>
      </c>
      <c r="C550">
        <v>400</v>
      </c>
      <c r="D550">
        <v>1200</v>
      </c>
      <c r="E550">
        <v>8.051999902818352E-4</v>
      </c>
      <c r="F550">
        <v>0</v>
      </c>
      <c r="G550" t="b">
        <v>0</v>
      </c>
    </row>
    <row r="551" spans="1:7" x14ac:dyDescent="0.3">
      <c r="A551">
        <v>4</v>
      </c>
      <c r="B551" s="1" t="s">
        <v>8</v>
      </c>
      <c r="C551">
        <v>400</v>
      </c>
      <c r="D551">
        <v>1200</v>
      </c>
      <c r="G551" t="b">
        <v>1</v>
      </c>
    </row>
    <row r="552" spans="1:7" x14ac:dyDescent="0.3">
      <c r="A552">
        <v>4</v>
      </c>
      <c r="B552" s="1" t="s">
        <v>9</v>
      </c>
      <c r="C552">
        <v>400</v>
      </c>
      <c r="D552">
        <v>1200</v>
      </c>
      <c r="E552">
        <v>0.17941799999971408</v>
      </c>
      <c r="F552">
        <v>0</v>
      </c>
      <c r="G552" t="b">
        <v>0</v>
      </c>
    </row>
    <row r="553" spans="1:7" x14ac:dyDescent="0.3">
      <c r="A553">
        <v>4</v>
      </c>
      <c r="B553" s="1" t="s">
        <v>10</v>
      </c>
      <c r="C553">
        <v>400</v>
      </c>
      <c r="D553">
        <v>1200</v>
      </c>
      <c r="E553">
        <v>7.1116699997219257E-2</v>
      </c>
      <c r="F553">
        <v>0</v>
      </c>
      <c r="G553" t="b">
        <v>0</v>
      </c>
    </row>
    <row r="554" spans="1:7" x14ac:dyDescent="0.3">
      <c r="A554">
        <v>4</v>
      </c>
      <c r="B554" s="1" t="s">
        <v>7</v>
      </c>
      <c r="C554">
        <v>10</v>
      </c>
      <c r="D554">
        <v>3600</v>
      </c>
      <c r="E554">
        <v>3.9399994420818985E-5</v>
      </c>
      <c r="F554">
        <v>182</v>
      </c>
      <c r="G554" t="b">
        <v>0</v>
      </c>
    </row>
    <row r="555" spans="1:7" x14ac:dyDescent="0.3">
      <c r="A555">
        <v>4</v>
      </c>
      <c r="B555" s="1" t="s">
        <v>8</v>
      </c>
      <c r="C555">
        <v>10</v>
      </c>
      <c r="D555">
        <v>3600</v>
      </c>
      <c r="E555">
        <v>5.2770000183954835E-4</v>
      </c>
      <c r="F555">
        <v>182</v>
      </c>
      <c r="G555" t="b">
        <v>0</v>
      </c>
    </row>
    <row r="556" spans="1:7" x14ac:dyDescent="0.3">
      <c r="A556">
        <v>4</v>
      </c>
      <c r="B556" s="1" t="s">
        <v>9</v>
      </c>
      <c r="C556">
        <v>10</v>
      </c>
      <c r="D556">
        <v>3600</v>
      </c>
      <c r="E556">
        <v>6.4460000430699438E-4</v>
      </c>
      <c r="F556">
        <v>183</v>
      </c>
      <c r="G556" t="b">
        <v>0</v>
      </c>
    </row>
    <row r="557" spans="1:7" x14ac:dyDescent="0.3">
      <c r="A557">
        <v>4</v>
      </c>
      <c r="B557" s="1" t="s">
        <v>10</v>
      </c>
      <c r="C557">
        <v>10</v>
      </c>
      <c r="D557">
        <v>3600</v>
      </c>
      <c r="E557">
        <v>4.3539999751374125E-4</v>
      </c>
      <c r="F557">
        <v>183</v>
      </c>
      <c r="G557" t="b">
        <v>0</v>
      </c>
    </row>
    <row r="558" spans="1:7" x14ac:dyDescent="0.3">
      <c r="A558">
        <v>4</v>
      </c>
      <c r="B558" s="1" t="s">
        <v>7</v>
      </c>
      <c r="C558">
        <v>30</v>
      </c>
      <c r="D558">
        <v>3600</v>
      </c>
      <c r="E558">
        <v>1.4229999214876443E-4</v>
      </c>
      <c r="F558">
        <v>0</v>
      </c>
      <c r="G558" t="b">
        <v>0</v>
      </c>
    </row>
    <row r="559" spans="1:7" x14ac:dyDescent="0.3">
      <c r="A559">
        <v>4</v>
      </c>
      <c r="B559" s="1" t="s">
        <v>8</v>
      </c>
      <c r="C559">
        <v>30</v>
      </c>
      <c r="D559">
        <v>3600</v>
      </c>
      <c r="G559" t="b">
        <v>1</v>
      </c>
    </row>
    <row r="560" spans="1:7" x14ac:dyDescent="0.3">
      <c r="A560">
        <v>4</v>
      </c>
      <c r="B560" s="1" t="s">
        <v>9</v>
      </c>
      <c r="C560">
        <v>30</v>
      </c>
      <c r="D560">
        <v>3600</v>
      </c>
      <c r="E560">
        <v>2.9901900008553639E-2</v>
      </c>
      <c r="F560">
        <v>0</v>
      </c>
      <c r="G560" t="b">
        <v>0</v>
      </c>
    </row>
    <row r="561" spans="1:7" x14ac:dyDescent="0.3">
      <c r="A561">
        <v>4</v>
      </c>
      <c r="B561" s="1" t="s">
        <v>10</v>
      </c>
      <c r="C561">
        <v>30</v>
      </c>
      <c r="D561">
        <v>3600</v>
      </c>
      <c r="E561">
        <v>1.0711700000683777E-2</v>
      </c>
      <c r="F561">
        <v>0</v>
      </c>
      <c r="G561" t="b">
        <v>0</v>
      </c>
    </row>
    <row r="562" spans="1:7" x14ac:dyDescent="0.3">
      <c r="A562">
        <v>4</v>
      </c>
      <c r="B562" s="1" t="s">
        <v>7</v>
      </c>
      <c r="C562">
        <v>50</v>
      </c>
      <c r="D562">
        <v>3600</v>
      </c>
      <c r="E562">
        <v>7.9100005677901208E-5</v>
      </c>
      <c r="F562">
        <v>0</v>
      </c>
      <c r="G562" t="b">
        <v>0</v>
      </c>
    </row>
    <row r="563" spans="1:7" x14ac:dyDescent="0.3">
      <c r="A563">
        <v>4</v>
      </c>
      <c r="B563" s="1" t="s">
        <v>8</v>
      </c>
      <c r="C563">
        <v>50</v>
      </c>
      <c r="D563">
        <v>3600</v>
      </c>
      <c r="G563" t="b">
        <v>1</v>
      </c>
    </row>
    <row r="564" spans="1:7" x14ac:dyDescent="0.3">
      <c r="A564">
        <v>4</v>
      </c>
      <c r="B564" s="1" t="s">
        <v>9</v>
      </c>
      <c r="C564">
        <v>50</v>
      </c>
      <c r="D564">
        <v>3600</v>
      </c>
      <c r="E564">
        <v>6.8843799992464483E-2</v>
      </c>
      <c r="F564">
        <v>0</v>
      </c>
      <c r="G564" t="b">
        <v>0</v>
      </c>
    </row>
    <row r="565" spans="1:7" x14ac:dyDescent="0.3">
      <c r="A565">
        <v>4</v>
      </c>
      <c r="B565" s="1" t="s">
        <v>10</v>
      </c>
      <c r="C565">
        <v>50</v>
      </c>
      <c r="D565">
        <v>3600</v>
      </c>
      <c r="E565">
        <v>2.1174199995584786E-2</v>
      </c>
      <c r="F565">
        <v>0</v>
      </c>
      <c r="G565" t="b">
        <v>0</v>
      </c>
    </row>
    <row r="566" spans="1:7" x14ac:dyDescent="0.3">
      <c r="A566">
        <v>4</v>
      </c>
      <c r="B566" s="1" t="s">
        <v>7</v>
      </c>
      <c r="C566">
        <v>100</v>
      </c>
      <c r="D566">
        <v>3600</v>
      </c>
      <c r="E566">
        <v>1.4069999451749027E-4</v>
      </c>
      <c r="F566">
        <v>0</v>
      </c>
      <c r="G566" t="b">
        <v>0</v>
      </c>
    </row>
    <row r="567" spans="1:7" x14ac:dyDescent="0.3">
      <c r="A567">
        <v>4</v>
      </c>
      <c r="B567" s="1" t="s">
        <v>8</v>
      </c>
      <c r="C567">
        <v>100</v>
      </c>
      <c r="D567">
        <v>3600</v>
      </c>
      <c r="G567" t="b">
        <v>1</v>
      </c>
    </row>
    <row r="568" spans="1:7" x14ac:dyDescent="0.3">
      <c r="A568">
        <v>4</v>
      </c>
      <c r="B568" s="1" t="s">
        <v>9</v>
      </c>
      <c r="C568">
        <v>100</v>
      </c>
      <c r="D568">
        <v>3600</v>
      </c>
      <c r="E568">
        <v>0.17337689999840222</v>
      </c>
      <c r="F568">
        <v>0</v>
      </c>
      <c r="G568" t="b">
        <v>0</v>
      </c>
    </row>
    <row r="569" spans="1:7" x14ac:dyDescent="0.3">
      <c r="A569">
        <v>4</v>
      </c>
      <c r="B569" s="1" t="s">
        <v>10</v>
      </c>
      <c r="C569">
        <v>100</v>
      </c>
      <c r="D569">
        <v>3600</v>
      </c>
      <c r="E569">
        <v>6.1018799999146722E-2</v>
      </c>
      <c r="F569">
        <v>0</v>
      </c>
      <c r="G569" t="b">
        <v>0</v>
      </c>
    </row>
    <row r="570" spans="1:7" x14ac:dyDescent="0.3">
      <c r="A570">
        <v>4</v>
      </c>
      <c r="B570" s="1" t="s">
        <v>7</v>
      </c>
      <c r="C570">
        <v>200</v>
      </c>
      <c r="D570">
        <v>3600</v>
      </c>
      <c r="E570">
        <v>1.1366999970050529E-3</v>
      </c>
      <c r="F570">
        <v>0</v>
      </c>
      <c r="G570" t="b">
        <v>0</v>
      </c>
    </row>
    <row r="571" spans="1:7" x14ac:dyDescent="0.3">
      <c r="A571">
        <v>4</v>
      </c>
      <c r="B571" s="1" t="s">
        <v>8</v>
      </c>
      <c r="C571">
        <v>200</v>
      </c>
      <c r="D571">
        <v>3600</v>
      </c>
      <c r="G571" t="b">
        <v>1</v>
      </c>
    </row>
    <row r="572" spans="1:7" x14ac:dyDescent="0.3">
      <c r="A572">
        <v>4</v>
      </c>
      <c r="B572" s="1" t="s">
        <v>9</v>
      </c>
      <c r="C572">
        <v>200</v>
      </c>
      <c r="D572">
        <v>3600</v>
      </c>
      <c r="E572">
        <v>0.44278450000274461</v>
      </c>
      <c r="F572">
        <v>0</v>
      </c>
      <c r="G572" t="b">
        <v>0</v>
      </c>
    </row>
    <row r="573" spans="1:7" x14ac:dyDescent="0.3">
      <c r="A573">
        <v>4</v>
      </c>
      <c r="B573" s="1" t="s">
        <v>10</v>
      </c>
      <c r="C573">
        <v>200</v>
      </c>
      <c r="D573">
        <v>3600</v>
      </c>
      <c r="E573">
        <v>0.15541720000328496</v>
      </c>
      <c r="F573">
        <v>0</v>
      </c>
      <c r="G573" t="b">
        <v>0</v>
      </c>
    </row>
    <row r="574" spans="1:7" x14ac:dyDescent="0.3">
      <c r="A574">
        <v>4</v>
      </c>
      <c r="B574" s="1" t="s">
        <v>7</v>
      </c>
      <c r="C574">
        <v>400</v>
      </c>
      <c r="D574">
        <v>3600</v>
      </c>
      <c r="E574">
        <v>1.2060000153724104E-4</v>
      </c>
      <c r="F574">
        <v>0</v>
      </c>
      <c r="G574" t="b">
        <v>0</v>
      </c>
    </row>
    <row r="575" spans="1:7" x14ac:dyDescent="0.3">
      <c r="A575">
        <v>4</v>
      </c>
      <c r="B575" s="1" t="s">
        <v>8</v>
      </c>
      <c r="C575">
        <v>400</v>
      </c>
      <c r="D575">
        <v>3600</v>
      </c>
      <c r="G575" t="b">
        <v>1</v>
      </c>
    </row>
    <row r="576" spans="1:7" x14ac:dyDescent="0.3">
      <c r="A576">
        <v>4</v>
      </c>
      <c r="B576" s="1" t="s">
        <v>9</v>
      </c>
      <c r="C576">
        <v>400</v>
      </c>
      <c r="D576">
        <v>3600</v>
      </c>
      <c r="E576">
        <v>0.88144189999729861</v>
      </c>
      <c r="F576">
        <v>0</v>
      </c>
      <c r="G576" t="b">
        <v>0</v>
      </c>
    </row>
    <row r="577" spans="1:7" x14ac:dyDescent="0.3">
      <c r="A577">
        <v>4</v>
      </c>
      <c r="B577" s="1" t="s">
        <v>10</v>
      </c>
      <c r="C577">
        <v>400</v>
      </c>
      <c r="D577">
        <v>3600</v>
      </c>
      <c r="E577">
        <v>0.28025729999353644</v>
      </c>
      <c r="F577">
        <v>0</v>
      </c>
      <c r="G577" t="b">
        <v>0</v>
      </c>
    </row>
    <row r="578" spans="1:7" x14ac:dyDescent="0.3">
      <c r="A578">
        <v>4</v>
      </c>
      <c r="B578" s="1" t="s">
        <v>7</v>
      </c>
      <c r="C578">
        <v>10</v>
      </c>
      <c r="D578">
        <v>7200</v>
      </c>
      <c r="E578">
        <v>3.2100011594593525E-5</v>
      </c>
      <c r="F578">
        <v>4947</v>
      </c>
      <c r="G578" t="b">
        <v>0</v>
      </c>
    </row>
    <row r="579" spans="1:7" x14ac:dyDescent="0.3">
      <c r="A579">
        <v>4</v>
      </c>
      <c r="B579" s="1" t="s">
        <v>8</v>
      </c>
      <c r="C579">
        <v>10</v>
      </c>
      <c r="D579">
        <v>7200</v>
      </c>
      <c r="E579">
        <v>5.5389999761246145E-4</v>
      </c>
      <c r="F579">
        <v>4947</v>
      </c>
      <c r="G579" t="b">
        <v>0</v>
      </c>
    </row>
    <row r="580" spans="1:7" x14ac:dyDescent="0.3">
      <c r="A580">
        <v>4</v>
      </c>
      <c r="B580" s="1" t="s">
        <v>9</v>
      </c>
      <c r="C580">
        <v>10</v>
      </c>
      <c r="D580">
        <v>7200</v>
      </c>
      <c r="E580">
        <v>3.8669999048579484E-4</v>
      </c>
      <c r="F580">
        <v>5213</v>
      </c>
      <c r="G580" t="b">
        <v>0</v>
      </c>
    </row>
    <row r="581" spans="1:7" x14ac:dyDescent="0.3">
      <c r="A581">
        <v>4</v>
      </c>
      <c r="B581" s="1" t="s">
        <v>10</v>
      </c>
      <c r="C581">
        <v>10</v>
      </c>
      <c r="D581">
        <v>7200</v>
      </c>
      <c r="E581">
        <v>3.2640001154504716E-4</v>
      </c>
      <c r="F581">
        <v>4947</v>
      </c>
      <c r="G581" t="b">
        <v>0</v>
      </c>
    </row>
    <row r="582" spans="1:7" x14ac:dyDescent="0.3">
      <c r="A582">
        <v>4</v>
      </c>
      <c r="B582" s="1" t="s">
        <v>7</v>
      </c>
      <c r="C582">
        <v>30</v>
      </c>
      <c r="D582">
        <v>7200</v>
      </c>
      <c r="E582">
        <v>1.235999952768907E-4</v>
      </c>
      <c r="F582">
        <v>0</v>
      </c>
      <c r="G582" t="b">
        <v>0</v>
      </c>
    </row>
    <row r="583" spans="1:7" x14ac:dyDescent="0.3">
      <c r="A583">
        <v>4</v>
      </c>
      <c r="B583" s="1" t="s">
        <v>8</v>
      </c>
      <c r="C583">
        <v>30</v>
      </c>
      <c r="D583">
        <v>7200</v>
      </c>
      <c r="G583" t="b">
        <v>1</v>
      </c>
    </row>
    <row r="584" spans="1:7" x14ac:dyDescent="0.3">
      <c r="A584">
        <v>4</v>
      </c>
      <c r="B584" s="1" t="s">
        <v>9</v>
      </c>
      <c r="C584">
        <v>30</v>
      </c>
      <c r="D584">
        <v>7200</v>
      </c>
      <c r="E584">
        <v>4.4937699989532121E-2</v>
      </c>
      <c r="F584">
        <v>1</v>
      </c>
      <c r="G584" t="b">
        <v>0</v>
      </c>
    </row>
    <row r="585" spans="1:7" x14ac:dyDescent="0.3">
      <c r="A585">
        <v>4</v>
      </c>
      <c r="B585" s="1" t="s">
        <v>10</v>
      </c>
      <c r="C585">
        <v>30</v>
      </c>
      <c r="D585">
        <v>7200</v>
      </c>
      <c r="E585">
        <v>1.6115099992020987E-2</v>
      </c>
      <c r="F585">
        <v>0</v>
      </c>
      <c r="G585" t="b">
        <v>0</v>
      </c>
    </row>
    <row r="586" spans="1:7" x14ac:dyDescent="0.3">
      <c r="A586">
        <v>4</v>
      </c>
      <c r="B586" s="1" t="s">
        <v>7</v>
      </c>
      <c r="C586">
        <v>50</v>
      </c>
      <c r="D586">
        <v>7200</v>
      </c>
      <c r="E586">
        <v>1.5690000145696104E-4</v>
      </c>
      <c r="F586">
        <v>0</v>
      </c>
      <c r="G586" t="b">
        <v>0</v>
      </c>
    </row>
    <row r="587" spans="1:7" x14ac:dyDescent="0.3">
      <c r="A587">
        <v>4</v>
      </c>
      <c r="B587" s="1" t="s">
        <v>8</v>
      </c>
      <c r="C587">
        <v>50</v>
      </c>
      <c r="D587">
        <v>7200</v>
      </c>
      <c r="G587" t="b">
        <v>1</v>
      </c>
    </row>
    <row r="588" spans="1:7" x14ac:dyDescent="0.3">
      <c r="A588">
        <v>4</v>
      </c>
      <c r="B588" s="1" t="s">
        <v>9</v>
      </c>
      <c r="C588">
        <v>50</v>
      </c>
      <c r="D588">
        <v>7200</v>
      </c>
      <c r="E588">
        <v>0.16940270000486635</v>
      </c>
      <c r="F588">
        <v>0</v>
      </c>
      <c r="G588" t="b">
        <v>0</v>
      </c>
    </row>
    <row r="589" spans="1:7" x14ac:dyDescent="0.3">
      <c r="A589">
        <v>4</v>
      </c>
      <c r="B589" s="1" t="s">
        <v>10</v>
      </c>
      <c r="C589">
        <v>50</v>
      </c>
      <c r="D589">
        <v>7200</v>
      </c>
      <c r="E589">
        <v>5.5624500004341826E-2</v>
      </c>
      <c r="F589">
        <v>0</v>
      </c>
      <c r="G589" t="b">
        <v>0</v>
      </c>
    </row>
    <row r="590" spans="1:7" x14ac:dyDescent="0.3">
      <c r="A590">
        <v>4</v>
      </c>
      <c r="B590" s="1" t="s">
        <v>7</v>
      </c>
      <c r="C590">
        <v>100</v>
      </c>
      <c r="D590">
        <v>7200</v>
      </c>
      <c r="E590">
        <v>3.8250000216066837E-4</v>
      </c>
      <c r="F590">
        <v>0</v>
      </c>
      <c r="G590" t="b">
        <v>0</v>
      </c>
    </row>
    <row r="591" spans="1:7" x14ac:dyDescent="0.3">
      <c r="A591">
        <v>4</v>
      </c>
      <c r="B591" s="1" t="s">
        <v>8</v>
      </c>
      <c r="C591">
        <v>100</v>
      </c>
      <c r="D591">
        <v>7200</v>
      </c>
      <c r="G591" t="b">
        <v>1</v>
      </c>
    </row>
    <row r="592" spans="1:7" x14ac:dyDescent="0.3">
      <c r="A592">
        <v>4</v>
      </c>
      <c r="B592" s="1" t="s">
        <v>9</v>
      </c>
      <c r="C592">
        <v>100</v>
      </c>
      <c r="D592">
        <v>7200</v>
      </c>
      <c r="E592">
        <v>0.47642910000286065</v>
      </c>
      <c r="F592">
        <v>0</v>
      </c>
      <c r="G592" t="b">
        <v>0</v>
      </c>
    </row>
    <row r="593" spans="1:7" x14ac:dyDescent="0.3">
      <c r="A593">
        <v>4</v>
      </c>
      <c r="B593" s="1" t="s">
        <v>10</v>
      </c>
      <c r="C593">
        <v>100</v>
      </c>
      <c r="D593">
        <v>7200</v>
      </c>
      <c r="E593">
        <v>0.16100860000005923</v>
      </c>
      <c r="F593">
        <v>0</v>
      </c>
      <c r="G593" t="b">
        <v>0</v>
      </c>
    </row>
    <row r="594" spans="1:7" x14ac:dyDescent="0.3">
      <c r="A594">
        <v>4</v>
      </c>
      <c r="B594" s="1" t="s">
        <v>7</v>
      </c>
      <c r="C594">
        <v>200</v>
      </c>
      <c r="D594">
        <v>7200</v>
      </c>
      <c r="E594">
        <v>1.1962000135099515E-3</v>
      </c>
      <c r="F594">
        <v>0</v>
      </c>
      <c r="G594" t="b">
        <v>0</v>
      </c>
    </row>
    <row r="595" spans="1:7" x14ac:dyDescent="0.3">
      <c r="A595">
        <v>4</v>
      </c>
      <c r="B595" s="1" t="s">
        <v>8</v>
      </c>
      <c r="C595">
        <v>200</v>
      </c>
      <c r="D595">
        <v>7200</v>
      </c>
      <c r="G595" t="b">
        <v>1</v>
      </c>
    </row>
    <row r="596" spans="1:7" x14ac:dyDescent="0.3">
      <c r="A596">
        <v>4</v>
      </c>
      <c r="B596" s="1" t="s">
        <v>9</v>
      </c>
      <c r="C596">
        <v>200</v>
      </c>
      <c r="D596">
        <v>7200</v>
      </c>
      <c r="E596">
        <v>1.0469597999908729</v>
      </c>
      <c r="F596">
        <v>0</v>
      </c>
      <c r="G596" t="b">
        <v>0</v>
      </c>
    </row>
    <row r="597" spans="1:7" x14ac:dyDescent="0.3">
      <c r="A597">
        <v>4</v>
      </c>
      <c r="B597" s="1" t="s">
        <v>10</v>
      </c>
      <c r="C597">
        <v>200</v>
      </c>
      <c r="D597">
        <v>7200</v>
      </c>
      <c r="E597">
        <v>0.3606253000034485</v>
      </c>
      <c r="F597">
        <v>0</v>
      </c>
      <c r="G597" t="b">
        <v>0</v>
      </c>
    </row>
    <row r="598" spans="1:7" x14ac:dyDescent="0.3">
      <c r="A598">
        <v>4</v>
      </c>
      <c r="B598" s="1" t="s">
        <v>7</v>
      </c>
      <c r="C598">
        <v>400</v>
      </c>
      <c r="D598">
        <v>7200</v>
      </c>
      <c r="E598">
        <v>1.073000006726943E-3</v>
      </c>
      <c r="F598">
        <v>0</v>
      </c>
      <c r="G598" t="b">
        <v>0</v>
      </c>
    </row>
    <row r="599" spans="1:7" x14ac:dyDescent="0.3">
      <c r="A599">
        <v>4</v>
      </c>
      <c r="B599" s="1" t="s">
        <v>8</v>
      </c>
      <c r="C599">
        <v>400</v>
      </c>
      <c r="D599">
        <v>7200</v>
      </c>
      <c r="G599" t="b">
        <v>1</v>
      </c>
    </row>
    <row r="600" spans="1:7" x14ac:dyDescent="0.3">
      <c r="A600">
        <v>4</v>
      </c>
      <c r="B600" s="1" t="s">
        <v>9</v>
      </c>
      <c r="C600">
        <v>400</v>
      </c>
      <c r="D600">
        <v>7200</v>
      </c>
      <c r="E600">
        <v>2.4158162999956403</v>
      </c>
      <c r="F600">
        <v>0</v>
      </c>
      <c r="G600" t="b">
        <v>0</v>
      </c>
    </row>
    <row r="601" spans="1:7" x14ac:dyDescent="0.3">
      <c r="A601">
        <v>4</v>
      </c>
      <c r="B601" s="1" t="s">
        <v>10</v>
      </c>
      <c r="C601">
        <v>400</v>
      </c>
      <c r="D601">
        <v>7200</v>
      </c>
      <c r="E601">
        <v>0.82749790001253132</v>
      </c>
      <c r="F601">
        <v>0</v>
      </c>
      <c r="G601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A0170-9A03-41EB-9ABF-0DBDA2EB5B95}">
  <dimension ref="A1:E44"/>
  <sheetViews>
    <sheetView workbookViewId="0">
      <pane xSplit="1" topLeftCell="B1" activePane="topRight" state="frozen"/>
      <selection pane="topRight"/>
    </sheetView>
  </sheetViews>
  <sheetFormatPr defaultRowHeight="14.4" x14ac:dyDescent="0.3"/>
  <cols>
    <col min="1" max="1" width="55.5546875" customWidth="1"/>
    <col min="2" max="5" width="20.33203125" customWidth="1"/>
  </cols>
  <sheetData>
    <row r="1" spans="1:5" ht="21" x14ac:dyDescent="0.4">
      <c r="A1" s="2" t="s">
        <v>11</v>
      </c>
    </row>
    <row r="2" spans="1:5" x14ac:dyDescent="0.3">
      <c r="A2" s="3" t="s">
        <v>12</v>
      </c>
    </row>
    <row r="4" spans="1:5" x14ac:dyDescent="0.3">
      <c r="A4" s="4" t="s">
        <v>13</v>
      </c>
      <c r="B4" s="5" t="s">
        <v>7</v>
      </c>
      <c r="C4" s="5" t="s">
        <v>8</v>
      </c>
      <c r="D4" s="5" t="s">
        <v>9</v>
      </c>
      <c r="E4" s="5" t="s">
        <v>10</v>
      </c>
    </row>
    <row r="5" spans="1:5" x14ac:dyDescent="0.3">
      <c r="A5" s="7" t="s">
        <v>14</v>
      </c>
    </row>
    <row r="6" spans="1:5" x14ac:dyDescent="0.3">
      <c r="A6" s="1" t="s">
        <v>15</v>
      </c>
      <c r="B6" s="13">
        <f>COUNTIFS(benchmark_results[algo],B$4)</f>
        <v>150</v>
      </c>
      <c r="C6" s="13">
        <f>COUNTIFS(benchmark_results[algo],C$4)</f>
        <v>150</v>
      </c>
      <c r="D6" s="13">
        <f>COUNTIFS(benchmark_results[algo],D$4)</f>
        <v>150</v>
      </c>
      <c r="E6" s="13">
        <f>COUNTIFS(benchmark_results[algo],E$4)</f>
        <v>150</v>
      </c>
    </row>
    <row r="7" spans="1:5" x14ac:dyDescent="0.3">
      <c r="A7" s="1" t="s">
        <v>16</v>
      </c>
      <c r="B7" s="13">
        <f>COUNTIFS(benchmark_results[algo],B$4,benchmark_results[timed_out],FALSE)</f>
        <v>111</v>
      </c>
      <c r="C7" s="13">
        <f>COUNTIFS(benchmark_results[algo],C$4,benchmark_results[timed_out],FALSE)</f>
        <v>55</v>
      </c>
      <c r="D7" s="13">
        <f>COUNTIFS(benchmark_results[algo],D$4,benchmark_results[timed_out],FALSE)</f>
        <v>150</v>
      </c>
      <c r="E7" s="13">
        <f>COUNTIFS(benchmark_results[algo],E$4,benchmark_results[timed_out],FALSE)</f>
        <v>150</v>
      </c>
    </row>
    <row r="8" spans="1:5" x14ac:dyDescent="0.3">
      <c r="A8" s="1" t="s">
        <v>17</v>
      </c>
      <c r="B8" s="13">
        <f>COUNTIFS(benchmark_results[algo],B$4,benchmark_results[timed_out],TRUE)</f>
        <v>39</v>
      </c>
      <c r="C8" s="13">
        <f>COUNTIFS(benchmark_results[algo],C$4,benchmark_results[timed_out],TRUE)</f>
        <v>95</v>
      </c>
      <c r="D8" s="13">
        <f>COUNTIFS(benchmark_results[algo],D$4,benchmark_results[timed_out],TRUE)</f>
        <v>0</v>
      </c>
      <c r="E8" s="13">
        <f>COUNTIFS(benchmark_results[algo],E$4,benchmark_results[timed_out],TRUE)</f>
        <v>0</v>
      </c>
    </row>
    <row r="9" spans="1:5" x14ac:dyDescent="0.3">
      <c r="A9" s="1" t="s">
        <v>18</v>
      </c>
      <c r="B9" s="8">
        <f>B8/B6</f>
        <v>0.26</v>
      </c>
      <c r="C9" s="8">
        <f t="shared" ref="C9:E9" si="0">C8/C6</f>
        <v>0.6333333333333333</v>
      </c>
      <c r="D9" s="8">
        <f t="shared" si="0"/>
        <v>0</v>
      </c>
      <c r="E9" s="8">
        <f t="shared" si="0"/>
        <v>0</v>
      </c>
    </row>
    <row r="10" spans="1:5" x14ac:dyDescent="0.3">
      <c r="A10" s="1" t="s">
        <v>19</v>
      </c>
      <c r="B10" s="13" cm="1">
        <f t="array" ref="B10">SUMPRODUCT(--(COUNTIFS(benchmark_results[algo],B$4,benchmark_results[timed_out],TRUE,benchmark_results[n_tracks],'By Size'!$A$5:$A$10)&gt;0))</f>
        <v>5</v>
      </c>
      <c r="C10" s="13" cm="1">
        <f t="array" ref="C10">SUMPRODUCT(--(COUNTIFS(benchmark_results[algo],C$4,benchmark_results[timed_out],TRUE,benchmark_results[n_tracks],'By Size'!$A$5:$A$10)&gt;0))</f>
        <v>5</v>
      </c>
      <c r="D10" s="13" cm="1">
        <f t="array" ref="D10">SUMPRODUCT(--(COUNTIFS(benchmark_results[algo],D$4,benchmark_results[timed_out],TRUE,benchmark_results[n_tracks],'By Size'!$A$5:$A$10)&gt;0))</f>
        <v>0</v>
      </c>
      <c r="E10" s="13" cm="1">
        <f t="array" ref="E10">SUMPRODUCT(--(COUNTIFS(benchmark_results[algo],E$4,benchmark_results[timed_out],TRUE,benchmark_results[n_tracks],'By Size'!$A$5:$A$10)&gt;0))</f>
        <v>0</v>
      </c>
    </row>
    <row r="11" spans="1:5" x14ac:dyDescent="0.3">
      <c r="A11" s="1" t="s">
        <v>20</v>
      </c>
      <c r="B11" s="13" cm="1">
        <f t="array" ref="B11">SUMPRODUCT(--(COUNTIFS(benchmark_results[algo],B$4,benchmark_results[timed_out],TRUE,benchmark_results[target_s],'By Target'!$A$5:$A$9)&gt;0))</f>
        <v>4</v>
      </c>
      <c r="C11" s="13" cm="1">
        <f t="array" ref="C11">SUMPRODUCT(--(COUNTIFS(benchmark_results[algo],C$4,benchmark_results[timed_out],TRUE,benchmark_results[target_s],'By Target'!$A$5:$A$9)&gt;0))</f>
        <v>5</v>
      </c>
      <c r="D11" s="13" cm="1">
        <f t="array" ref="D11">SUMPRODUCT(--(COUNTIFS(benchmark_results[algo],D$4,benchmark_results[timed_out],TRUE,benchmark_results[target_s],'By Target'!$A$5:$A$9)&gt;0))</f>
        <v>0</v>
      </c>
      <c r="E11" s="13" cm="1">
        <f t="array" ref="E11">SUMPRODUCT(--(COUNTIFS(benchmark_results[algo],E$4,benchmark_results[timed_out],TRUE,benchmark_results[target_s],'By Target'!$A$5:$A$9)&gt;0))</f>
        <v>0</v>
      </c>
    </row>
    <row r="13" spans="1:5" x14ac:dyDescent="0.3">
      <c r="A13" s="7" t="s">
        <v>25</v>
      </c>
    </row>
    <row r="14" spans="1:5" x14ac:dyDescent="0.3">
      <c r="A14" t="s">
        <v>26</v>
      </c>
      <c r="B14" s="10">
        <f>AVERAGEIFS(benchmark_results[runtime_s],benchmark_results[algo],B$4)</f>
        <v>9.4499729777191275E-4</v>
      </c>
      <c r="C14" s="10">
        <f>AVERAGEIFS(benchmark_results[runtime_s],benchmark_results[algo],C$4)</f>
        <v>0.33590129999978341</v>
      </c>
      <c r="D14" s="10">
        <f>AVERAGEIFS(benchmark_results[runtime_s],benchmark_results[algo],D$4)</f>
        <v>0.25626693999957451</v>
      </c>
      <c r="E14" s="10">
        <f>AVERAGEIFS(benchmark_results[runtime_s],benchmark_results[algo],E$4)</f>
        <v>8.7146811333853602E-2</v>
      </c>
    </row>
    <row r="15" spans="1:5" x14ac:dyDescent="0.3">
      <c r="A15" t="s">
        <v>27</v>
      </c>
      <c r="B15" s="10" cm="1">
        <f t="array" ref="B15">MEDIAN(_xlfn._xlws.FILTER(benchmark_results[runtime_s],(benchmark_results[algo]=B$4)*(benchmark_results[timed_out]=FALSE)))</f>
        <v>4.4299999717622995E-4</v>
      </c>
      <c r="C15" s="10" cm="1">
        <f t="array" ref="C15">MEDIAN(_xlfn._xlws.FILTER(benchmark_results[runtime_s],(benchmark_results[algo]=C$4)*(benchmark_results[timed_out]=FALSE)))</f>
        <v>1.8798999954015017E-3</v>
      </c>
      <c r="D15" s="10" cm="1">
        <f t="array" ref="D15">MEDIAN(_xlfn._xlws.FILTER(benchmark_results[runtime_s],(benchmark_results[algo]=D$4)*(benchmark_results[timed_out]=FALSE)))</f>
        <v>2.7024249997339211E-2</v>
      </c>
      <c r="E15" s="10" cm="1">
        <f t="array" ref="E15">MEDIAN(_xlfn._xlws.FILTER(benchmark_results[runtime_s],(benchmark_results[algo]=E$4)*(benchmark_results[timed_out]=FALSE)))</f>
        <v>1.0814150002261158E-2</v>
      </c>
    </row>
    <row r="16" spans="1:5" x14ac:dyDescent="0.3">
      <c r="A16" t="s">
        <v>28</v>
      </c>
      <c r="B16" s="10" cm="1">
        <f t="array" ref="B16">GEOMEAN(_xlfn._xlws.FILTER(benchmark_results[runtime_s],(benchmark_results[algo]=B$4)*(benchmark_results[timed_out]=FALSE)))</f>
        <v>3.8480206187154479E-4</v>
      </c>
      <c r="C16" s="10" cm="1">
        <f t="array" ref="C16">GEOMEAN(_xlfn._xlws.FILTER(benchmark_results[runtime_s],(benchmark_results[algo]=C$4)*(benchmark_results[timed_out]=FALSE)))</f>
        <v>6.6228819292419453E-3</v>
      </c>
      <c r="D16" s="10" cm="1">
        <f t="array" ref="D16">GEOMEAN(_xlfn._xlws.FILTER(benchmark_results[runtime_s],(benchmark_results[algo]=D$4)*(benchmark_results[timed_out]=FALSE)))</f>
        <v>1.6720032387945227E-2</v>
      </c>
      <c r="E16" s="10" cm="1">
        <f t="array" ref="E16">GEOMEAN(_xlfn._xlws.FILTER(benchmark_results[runtime_s],(benchmark_results[algo]=E$4)*(benchmark_results[timed_out]=FALSE)))</f>
        <v>7.6975232693921071E-3</v>
      </c>
    </row>
    <row r="17" spans="1:5" x14ac:dyDescent="0.3">
      <c r="A17" t="s">
        <v>29</v>
      </c>
      <c r="B17" s="10" cm="1">
        <f t="array" ref="B17">_xlfn.PERCENTILE.INC(_xlfn._xlws.FILTER(benchmark_results[runtime_s],(benchmark_results[algo]=B$4)*(benchmark_results[timed_out]=FALSE)),0.95)</f>
        <v>3.2177499961107969E-3</v>
      </c>
      <c r="C17" s="10" cm="1">
        <f t="array" ref="C17">_xlfn.PERCENTILE.INC(_xlfn._xlws.FILTER(benchmark_results[runtime_s],(benchmark_results[algo]=C$4)*(benchmark_results[timed_out]=FALSE)),0.95)</f>
        <v>1.2883004800023623</v>
      </c>
      <c r="D17" s="10" cm="1">
        <f t="array" ref="D17">_xlfn.PERCENTILE.INC(_xlfn._xlws.FILTER(benchmark_results[runtime_s],(benchmark_results[algo]=D$4)*(benchmark_results[timed_out]=FALSE)),0.95)</f>
        <v>1.1870117599923091</v>
      </c>
      <c r="E17" s="10" cm="1">
        <f t="array" ref="E17">_xlfn.PERCENTILE.INC(_xlfn._xlws.FILTER(benchmark_results[runtime_s],(benchmark_results[algo]=E$4)*(benchmark_results[timed_out]=FALSE)),0.95)</f>
        <v>0.45106054000425377</v>
      </c>
    </row>
    <row r="18" spans="1:5" x14ac:dyDescent="0.3">
      <c r="A18" t="s">
        <v>30</v>
      </c>
      <c r="B18" s="10">
        <f>_xlfn.MINIFS(benchmark_results[runtime_s],benchmark_results[algo],B$4)</f>
        <v>1.7700003809295595E-5</v>
      </c>
      <c r="C18" s="10">
        <f>_xlfn.MINIFS(benchmark_results[runtime_s],benchmark_results[algo],C$4)</f>
        <v>7.3500006692484021E-5</v>
      </c>
      <c r="D18" s="10">
        <f>_xlfn.MINIFS(benchmark_results[runtime_s],benchmark_results[algo],D$4)</f>
        <v>4.1499995859339833E-5</v>
      </c>
      <c r="E18" s="10">
        <f>_xlfn.MINIFS(benchmark_results[runtime_s],benchmark_results[algo],E$4)</f>
        <v>3.6299999919719994E-5</v>
      </c>
    </row>
    <row r="19" spans="1:5" x14ac:dyDescent="0.3">
      <c r="A19" t="s">
        <v>31</v>
      </c>
      <c r="B19" s="10">
        <f>_xlfn.MAXIFS(benchmark_results[runtime_s],benchmark_results[algo],B$4)</f>
        <v>1.1334200011333451E-2</v>
      </c>
      <c r="C19" s="10">
        <f>_xlfn.MAXIFS(benchmark_results[runtime_s],benchmark_results[algo],C$4)</f>
        <v>7.0573738999955822</v>
      </c>
      <c r="D19" s="10">
        <f>_xlfn.MAXIFS(benchmark_results[runtime_s],benchmark_results[algo],D$4)</f>
        <v>4.1035292000015033</v>
      </c>
      <c r="E19" s="10">
        <f>_xlfn.MAXIFS(benchmark_results[runtime_s],benchmark_results[algo],E$4)</f>
        <v>1.490365000005113</v>
      </c>
    </row>
    <row r="20" spans="1:5" x14ac:dyDescent="0.3">
      <c r="A20" t="s">
        <v>32</v>
      </c>
      <c r="B20" s="11">
        <f>SUMIFS(benchmark_results[runtime_s],benchmark_results[algo],B$4)</f>
        <v>0.10489470005268231</v>
      </c>
      <c r="C20" s="11">
        <f>SUMIFS(benchmark_results[runtime_s],benchmark_results[algo],C$4)</f>
        <v>18.474571499988087</v>
      </c>
      <c r="D20" s="11">
        <f>SUMIFS(benchmark_results[runtime_s],benchmark_results[algo],D$4)</f>
        <v>38.440040999936173</v>
      </c>
      <c r="E20" s="11">
        <f>SUMIFS(benchmark_results[runtime_s],benchmark_results[algo],E$4)</f>
        <v>13.072021700078039</v>
      </c>
    </row>
    <row r="22" spans="1:5" x14ac:dyDescent="0.3">
      <c r="A22" s="7" t="s">
        <v>33</v>
      </c>
    </row>
    <row r="23" spans="1:5" x14ac:dyDescent="0.3">
      <c r="A23" t="s">
        <v>34</v>
      </c>
      <c r="B23">
        <f>COUNTIFS(benchmark_results[algo],B$4,benchmark_results[gap_s],0)</f>
        <v>101</v>
      </c>
      <c r="C23">
        <f>COUNTIFS(benchmark_results[algo],C$4,benchmark_results[gap_s],0)</f>
        <v>35</v>
      </c>
      <c r="D23">
        <f>COUNTIFS(benchmark_results[algo],D$4,benchmark_results[gap_s],0)</f>
        <v>125</v>
      </c>
      <c r="E23">
        <f>COUNTIFS(benchmark_results[algo],E$4,benchmark_results[gap_s],0)</f>
        <v>129</v>
      </c>
    </row>
    <row r="24" spans="1:5" x14ac:dyDescent="0.3">
      <c r="A24" t="s">
        <v>35</v>
      </c>
      <c r="B24" s="8">
        <f>B23/B7</f>
        <v>0.90990990990990994</v>
      </c>
      <c r="C24" s="8">
        <f t="shared" ref="C24:E24" si="1">C23/C7</f>
        <v>0.63636363636363635</v>
      </c>
      <c r="D24" s="8">
        <f t="shared" si="1"/>
        <v>0.83333333333333337</v>
      </c>
      <c r="E24" s="8">
        <f t="shared" si="1"/>
        <v>0.86</v>
      </c>
    </row>
    <row r="25" spans="1:5" x14ac:dyDescent="0.3">
      <c r="A25" t="s">
        <v>36</v>
      </c>
      <c r="B25" s="12">
        <f>AVERAGEIFS(benchmark_results[gap_s],benchmark_results[algo],B$4,benchmark_results[timed_out],FALSE)</f>
        <v>247.66666666666666</v>
      </c>
      <c r="C25" s="12">
        <f>AVERAGEIFS(benchmark_results[gap_s],benchmark_results[algo],C$4,benchmark_results[timed_out],FALSE)</f>
        <v>500.5272727272727</v>
      </c>
      <c r="D25" s="12">
        <f>AVERAGEIFS(benchmark_results[gap_s],benchmark_results[algo],D$4,benchmark_results[timed_out],FALSE)</f>
        <v>186.88</v>
      </c>
      <c r="E25" s="12">
        <f>AVERAGEIFS(benchmark_results[gap_s],benchmark_results[algo],E$4,benchmark_results[timed_out],FALSE)</f>
        <v>183.54666666666665</v>
      </c>
    </row>
    <row r="26" spans="1:5" x14ac:dyDescent="0.3">
      <c r="A26" t="s">
        <v>37</v>
      </c>
      <c r="B26" s="13">
        <f>_xlfn.MAXIFS(benchmark_results[gap_s],benchmark_results[algo],B$4)</f>
        <v>5071</v>
      </c>
      <c r="C26" s="13">
        <f>_xlfn.MAXIFS(benchmark_results[gap_s],benchmark_results[algo],C$4)</f>
        <v>5071</v>
      </c>
      <c r="D26" s="13">
        <f>_xlfn.MAXIFS(benchmark_results[gap_s],benchmark_results[algo],D$4)</f>
        <v>5213</v>
      </c>
      <c r="E26" s="13">
        <f>_xlfn.MAXIFS(benchmark_results[gap_s],benchmark_results[algo],E$4)</f>
        <v>5071</v>
      </c>
    </row>
    <row r="27" spans="1:5" x14ac:dyDescent="0.3">
      <c r="A27" s="14" t="s">
        <v>38</v>
      </c>
    </row>
    <row r="28" spans="1:5" x14ac:dyDescent="0.3">
      <c r="A28" t="s">
        <v>39</v>
      </c>
      <c r="B28">
        <f>COUNTIFS(benchmark_results[algo],B$4,benchmark_results[gap_s],"&gt;0",benchmark_results[n_tracks],"&gt;10")</f>
        <v>0</v>
      </c>
      <c r="C28">
        <f>COUNTIFS(benchmark_results[algo],C$4,benchmark_results[gap_s],"&gt;0",benchmark_results[n_tracks],"&gt;10")</f>
        <v>1</v>
      </c>
      <c r="D28">
        <f>COUNTIFS(benchmark_results[algo],D$4,benchmark_results[gap_s],"&gt;0",benchmark_results[n_tracks],"&gt;10")</f>
        <v>5</v>
      </c>
      <c r="E28">
        <f>COUNTIFS(benchmark_results[algo],E$4,benchmark_results[gap_s],"&gt;0",benchmark_results[n_tracks],"&gt;10")</f>
        <v>1</v>
      </c>
    </row>
    <row r="29" spans="1:5" x14ac:dyDescent="0.3">
      <c r="A29" t="s">
        <v>40</v>
      </c>
      <c r="B29" s="11">
        <f>AVERAGEIFS(benchmark_results[gap_s],benchmark_results[algo],B$4,benchmark_results[timed_out],FALSE,benchmark_results[n_tracks],"&gt;10")</f>
        <v>0</v>
      </c>
      <c r="C29" s="11">
        <f>AVERAGEIFS(benchmark_results[gap_s],benchmark_results[algo],C$4,benchmark_results[timed_out],FALSE,benchmark_results[n_tracks],"&gt;10")</f>
        <v>3.3333333333333333E-2</v>
      </c>
      <c r="D29" s="11">
        <f>AVERAGEIFS(benchmark_results[gap_s],benchmark_results[algo],D$4,benchmark_results[timed_out],FALSE,benchmark_results[n_tracks],"&gt;10")</f>
        <v>0.23200000000000001</v>
      </c>
      <c r="E29" s="11">
        <f>AVERAGEIFS(benchmark_results[gap_s],benchmark_results[algo],E$4,benchmark_results[timed_out],FALSE,benchmark_results[n_tracks],"&gt;10")</f>
        <v>8.0000000000000002E-3</v>
      </c>
    </row>
    <row r="30" spans="1:5" x14ac:dyDescent="0.3">
      <c r="A30" t="s">
        <v>37</v>
      </c>
      <c r="B30" s="13">
        <f>_xlfn.MAXIFS(benchmark_results[gap_s],benchmark_results[algo],B$4,benchmark_results[n_tracks],"&gt;10")</f>
        <v>0</v>
      </c>
      <c r="C30" s="13">
        <f>_xlfn.MAXIFS(benchmark_results[gap_s],benchmark_results[algo],C$4,benchmark_results[n_tracks],"&gt;10")</f>
        <v>1</v>
      </c>
      <c r="D30" s="13">
        <f>_xlfn.MAXIFS(benchmark_results[gap_s],benchmark_results[algo],D$4,benchmark_results[n_tracks],"&gt;10")</f>
        <v>24</v>
      </c>
      <c r="E30" s="13">
        <f>_xlfn.MAXIFS(benchmark_results[gap_s],benchmark_results[algo],E$4,benchmark_results[n_tracks],"&gt;10")</f>
        <v>1</v>
      </c>
    </row>
    <row r="32" spans="1:5" ht="17.399999999999999" x14ac:dyDescent="0.35">
      <c r="A32" s="20" t="s">
        <v>81</v>
      </c>
    </row>
    <row r="33" spans="1:1" x14ac:dyDescent="0.3">
      <c r="A33" s="21" t="s">
        <v>82</v>
      </c>
    </row>
    <row r="34" spans="1:1" x14ac:dyDescent="0.3">
      <c r="A34" s="21" t="s">
        <v>83</v>
      </c>
    </row>
    <row r="35" spans="1:1" x14ac:dyDescent="0.3">
      <c r="A35" s="21" t="s">
        <v>84</v>
      </c>
    </row>
    <row r="36" spans="1:1" x14ac:dyDescent="0.3">
      <c r="A36" s="21" t="s">
        <v>85</v>
      </c>
    </row>
    <row r="37" spans="1:1" x14ac:dyDescent="0.3">
      <c r="A37" s="21" t="s">
        <v>86</v>
      </c>
    </row>
    <row r="38" spans="1:1" x14ac:dyDescent="0.3">
      <c r="A38" s="21" t="s">
        <v>87</v>
      </c>
    </row>
    <row r="39" spans="1:1" x14ac:dyDescent="0.3">
      <c r="A39" s="21" t="s">
        <v>88</v>
      </c>
    </row>
    <row r="40" spans="1:1" x14ac:dyDescent="0.3">
      <c r="A40" s="21" t="s">
        <v>89</v>
      </c>
    </row>
    <row r="41" spans="1:1" x14ac:dyDescent="0.3">
      <c r="A41" s="21" t="s">
        <v>90</v>
      </c>
    </row>
    <row r="42" spans="1:1" x14ac:dyDescent="0.3">
      <c r="A42" s="21"/>
    </row>
    <row r="43" spans="1:1" ht="17.399999999999999" x14ac:dyDescent="0.35">
      <c r="A43" s="22" t="s">
        <v>91</v>
      </c>
    </row>
    <row r="44" spans="1:1" x14ac:dyDescent="0.3">
      <c r="A44" s="21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AA4F7-A32C-447E-809C-7769A7294819}">
  <dimension ref="A1:AF17"/>
  <sheetViews>
    <sheetView topLeftCell="A15" workbookViewId="0">
      <selection activeCell="M12" sqref="M12"/>
    </sheetView>
  </sheetViews>
  <sheetFormatPr defaultRowHeight="14.4" x14ac:dyDescent="0.3"/>
  <cols>
    <col min="1" max="1" width="40.77734375" customWidth="1"/>
    <col min="2" max="20" width="19.44140625" customWidth="1"/>
  </cols>
  <sheetData>
    <row r="1" spans="1:32" ht="18" x14ac:dyDescent="0.35">
      <c r="A1" s="9" t="s">
        <v>21</v>
      </c>
    </row>
    <row r="2" spans="1:32" x14ac:dyDescent="0.3">
      <c r="A2" s="3" t="s">
        <v>22</v>
      </c>
    </row>
    <row r="3" spans="1:32" x14ac:dyDescent="0.3">
      <c r="B3" s="7" t="s">
        <v>41</v>
      </c>
      <c r="G3" s="7" t="s">
        <v>42</v>
      </c>
      <c r="L3" s="15" t="s">
        <v>43</v>
      </c>
      <c r="Q3" s="16" t="s">
        <v>44</v>
      </c>
      <c r="V3" s="7" t="s">
        <v>93</v>
      </c>
      <c r="AB3" s="15" t="s">
        <v>95</v>
      </c>
    </row>
    <row r="4" spans="1:32" x14ac:dyDescent="0.3">
      <c r="A4" s="4" t="s">
        <v>2</v>
      </c>
      <c r="B4" s="17" t="s">
        <v>7</v>
      </c>
      <c r="C4" s="17" t="s">
        <v>8</v>
      </c>
      <c r="D4" s="17" t="s">
        <v>9</v>
      </c>
      <c r="E4" s="17" t="s">
        <v>10</v>
      </c>
      <c r="F4" s="5" t="s">
        <v>2</v>
      </c>
      <c r="G4" s="17" t="s">
        <v>7</v>
      </c>
      <c r="H4" s="17" t="s">
        <v>8</v>
      </c>
      <c r="I4" s="17" t="s">
        <v>9</v>
      </c>
      <c r="J4" s="17" t="s">
        <v>10</v>
      </c>
      <c r="K4" s="5" t="s">
        <v>2</v>
      </c>
      <c r="L4" s="17" t="s">
        <v>7</v>
      </c>
      <c r="M4" s="17" t="s">
        <v>8</v>
      </c>
      <c r="N4" s="17" t="s">
        <v>9</v>
      </c>
      <c r="O4" s="17" t="s">
        <v>10</v>
      </c>
      <c r="P4" s="5" t="s">
        <v>2</v>
      </c>
      <c r="Q4" s="17" t="s">
        <v>7</v>
      </c>
      <c r="R4" s="17" t="s">
        <v>8</v>
      </c>
      <c r="S4" s="17" t="s">
        <v>9</v>
      </c>
      <c r="T4" s="17" t="s">
        <v>10</v>
      </c>
      <c r="V4" s="17" t="s">
        <v>2</v>
      </c>
      <c r="W4" s="17" t="s">
        <v>94</v>
      </c>
      <c r="X4" s="17" t="s">
        <v>67</v>
      </c>
      <c r="Y4" s="17" t="s">
        <v>68</v>
      </c>
      <c r="Z4" s="17" t="s">
        <v>69</v>
      </c>
      <c r="AB4" s="6" t="s">
        <v>2</v>
      </c>
      <c r="AC4" s="6" t="s">
        <v>94</v>
      </c>
      <c r="AD4" s="6" t="s">
        <v>67</v>
      </c>
      <c r="AE4" s="6" t="s">
        <v>68</v>
      </c>
      <c r="AF4" s="6" t="s">
        <v>69</v>
      </c>
    </row>
    <row r="5" spans="1:32" x14ac:dyDescent="0.3">
      <c r="A5">
        <v>10</v>
      </c>
      <c r="B5" s="10" cm="1">
        <f t="array" ref="B5">IFERROR(MEDIAN(_xlfn._xlws.FILTER(benchmark_results[runtime_s],(benchmark_results[algo]=B$4)*(benchmark_results[n_tracks]=$A5)*(benchmark_results[timed_out]=FALSE))),"n/a")</f>
        <v>2.1100000594742596E-5</v>
      </c>
      <c r="C5" s="10" cm="1">
        <f t="array" ref="C5">IFERROR(MEDIAN(_xlfn._xlws.FILTER(benchmark_results[runtime_s],(benchmark_results[algo]=C$4)*(benchmark_results[n_tracks]=$A5)*(benchmark_results[timed_out]=FALSE))),"n/a")</f>
        <v>3.7680000241380185E-4</v>
      </c>
      <c r="D5" s="10" cm="1">
        <f t="array" ref="D5">IFERROR(MEDIAN(_xlfn._xlws.FILTER(benchmark_results[runtime_s],(benchmark_results[algo]=D$4)*(benchmark_results[n_tracks]=$A5)*(benchmark_results[timed_out]=FALSE))),"n/a")</f>
        <v>3.5170000046491623E-4</v>
      </c>
      <c r="E5" s="10" cm="1">
        <f t="array" ref="E5">IFERROR(MEDIAN(_xlfn._xlws.FILTER(benchmark_results[runtime_s],(benchmark_results[algo]=E$4)*(benchmark_results[n_tracks]=$A5)*(benchmark_results[timed_out]=FALSE))),"n/a")</f>
        <v>2.6000000070780516E-4</v>
      </c>
      <c r="F5" s="10">
        <f>$A5</f>
        <v>10</v>
      </c>
      <c r="G5" s="10">
        <f>IF(COUNTIFS(benchmark_results[algo],G$4,benchmark_results[n_tracks],$A5,benchmark_results[timed_out],FALSE)=0,"n/a",_xlfn.MAXIFS(benchmark_results[runtime_s],benchmark_results[algo],G$4,benchmark_results[n_tracks],$A5))</f>
        <v>3.9399994420818985E-5</v>
      </c>
      <c r="H5" s="10">
        <f>IF(COUNTIFS(benchmark_results[algo],H$4,benchmark_results[n_tracks],$A5,benchmark_results[timed_out],FALSE)=0,"n/a",_xlfn.MAXIFS(benchmark_results[runtime_s],benchmark_results[algo],H$4,benchmark_results[n_tracks],$A5))</f>
        <v>7.3489999340381473E-4</v>
      </c>
      <c r="I5" s="10">
        <f>IF(COUNTIFS(benchmark_results[algo],I$4,benchmark_results[n_tracks],$A5,benchmark_results[timed_out],FALSE)=0,"n/a",_xlfn.MAXIFS(benchmark_results[runtime_s],benchmark_results[algo],I$4,benchmark_results[n_tracks],$A5))</f>
        <v>8.2139999722130597E-4</v>
      </c>
      <c r="J5" s="10">
        <f>IF(COUNTIFS(benchmark_results[algo],J$4,benchmark_results[n_tracks],$A5,benchmark_results[timed_out],FALSE)=0,"n/a",_xlfn.MAXIFS(benchmark_results[runtime_s],benchmark_results[algo],J$4,benchmark_results[n_tracks],$A5))</f>
        <v>6.5729999914765358E-4</v>
      </c>
      <c r="K5">
        <f>$A5</f>
        <v>10</v>
      </c>
      <c r="L5">
        <f>COUNTIFS(benchmark_results[algo],L$4,benchmark_results[n_tracks],$A5,benchmark_results[timed_out],TRUE)</f>
        <v>15</v>
      </c>
      <c r="M5">
        <f>COUNTIFS(benchmark_results[algo],M$4,benchmark_results[n_tracks],$A5,benchmark_results[timed_out],TRUE)</f>
        <v>0</v>
      </c>
      <c r="N5">
        <f>COUNTIFS(benchmark_results[algo],N$4,benchmark_results[n_tracks],$A5,benchmark_results[timed_out],TRUE)</f>
        <v>0</v>
      </c>
      <c r="O5">
        <f>COUNTIFS(benchmark_results[algo],O$4,benchmark_results[n_tracks],$A5,benchmark_results[timed_out],TRUE)</f>
        <v>0</v>
      </c>
      <c r="P5">
        <f>$A5</f>
        <v>10</v>
      </c>
      <c r="Q5" s="12">
        <f>IFERROR(AVERAGEIFS(benchmark_results[gap_s],benchmark_results[algo],Q$4,benchmark_results[n_tracks],$A5,benchmark_results[timed_out],FALSE),"n/a")</f>
        <v>2749.1</v>
      </c>
      <c r="R5" s="12">
        <f>IFERROR(AVERAGEIFS(benchmark_results[gap_s],benchmark_results[algo],R$4,benchmark_results[n_tracks],$A5,benchmark_results[timed_out],FALSE),"n/a")</f>
        <v>1101.1199999999999</v>
      </c>
      <c r="S5" s="12">
        <f>IFERROR(AVERAGEIFS(benchmark_results[gap_s],benchmark_results[algo],S$4,benchmark_results[n_tracks],$A5,benchmark_results[timed_out],FALSE),"n/a")</f>
        <v>1120.1199999999999</v>
      </c>
      <c r="T5" s="12">
        <f>IFERROR(AVERAGEIFS(benchmark_results[gap_s],benchmark_results[algo],T$4,benchmark_results[n_tracks],$A5,benchmark_results[timed_out],FALSE),"n/a")</f>
        <v>1101.24</v>
      </c>
      <c r="V5" s="12" t="str">
        <f>TEXT($A5,"0")</f>
        <v>10</v>
      </c>
      <c r="W5" s="10" cm="1">
        <f t="array" ref="W5">IFERROR(MEDIAN(_xlfn._xlws.FILTER(benchmark_results[runtime_s],(benchmark_results[algo]="design_playlist_"&amp;W$4)*(benchmark_results[n_tracks]=$A5)*(benchmark_results[timed_out]=FALSE))),NA())</f>
        <v>2.1100000594742596E-5</v>
      </c>
      <c r="X5" s="10" cm="1">
        <f t="array" ref="X5">IFERROR(MEDIAN(_xlfn._xlws.FILTER(benchmark_results[runtime_s],(benchmark_results[algo]="design_playlist_"&amp;X$4)*(benchmark_results[n_tracks]=$A5)*(benchmark_results[timed_out]=FALSE))),NA())</f>
        <v>3.7680000241380185E-4</v>
      </c>
      <c r="Y5" s="10" cm="1">
        <f t="array" ref="Y5">IFERROR(MEDIAN(_xlfn._xlws.FILTER(benchmark_results[runtime_s],(benchmark_results[algo]="design_playlist_"&amp;Y$4)*(benchmark_results[n_tracks]=$A5)*(benchmark_results[timed_out]=FALSE))),NA())</f>
        <v>3.5170000046491623E-4</v>
      </c>
      <c r="Z5" s="10" cm="1">
        <f t="array" ref="Z5">IFERROR(MEDIAN(_xlfn._xlws.FILTER(benchmark_results[runtime_s],(benchmark_results[algo]="design_playlist_"&amp;Z$4)*(benchmark_results[n_tracks]=$A5)*(benchmark_results[timed_out]=FALSE))),NA())</f>
        <v>2.6000000070780516E-4</v>
      </c>
      <c r="AB5" t="str">
        <f>TEXT($A5,"0")</f>
        <v>10</v>
      </c>
      <c r="AC5">
        <f>COUNTIFS(benchmark_results[algo],"design_playlist_"&amp;AC$4,benchmark_results[n_tracks],$A5,benchmark_results[timed_out],TRUE)</f>
        <v>15</v>
      </c>
      <c r="AD5">
        <f>COUNTIFS(benchmark_results[algo],"design_playlist_"&amp;AD$4,benchmark_results[n_tracks],$A5,benchmark_results[timed_out],TRUE)</f>
        <v>0</v>
      </c>
      <c r="AE5">
        <f>COUNTIFS(benchmark_results[algo],"design_playlist_"&amp;AE$4,benchmark_results[n_tracks],$A5,benchmark_results[timed_out],TRUE)</f>
        <v>0</v>
      </c>
      <c r="AF5">
        <f>COUNTIFS(benchmark_results[algo],"design_playlist_"&amp;AF$4,benchmark_results[n_tracks],$A5,benchmark_results[timed_out],TRUE)</f>
        <v>0</v>
      </c>
    </row>
    <row r="6" spans="1:32" x14ac:dyDescent="0.3">
      <c r="A6">
        <v>30</v>
      </c>
      <c r="B6" s="10" cm="1">
        <f t="array" ref="B6">IFERROR(MEDIAN(_xlfn._xlws.FILTER(benchmark_results[runtime_s],(benchmark_results[algo]=B$4)*(benchmark_results[n_tracks]=$A6)*(benchmark_results[timed_out]=FALSE))),"n/a")</f>
        <v>2.5810000079218298E-4</v>
      </c>
      <c r="C6" s="10" cm="1">
        <f t="array" ref="C6">IFERROR(MEDIAN(_xlfn._xlws.FILTER(benchmark_results[runtime_s],(benchmark_results[algo]=C$4)*(benchmark_results[n_tracks]=$A6)*(benchmark_results[timed_out]=FALSE))),"n/a")</f>
        <v>2.8075800000806339E-2</v>
      </c>
      <c r="D6" s="10" cm="1">
        <f t="array" ref="D6">IFERROR(MEDIAN(_xlfn._xlws.FILTER(benchmark_results[runtime_s],(benchmark_results[algo]=D$4)*(benchmark_results[n_tracks]=$A6)*(benchmark_results[timed_out]=FALSE))),"n/a")</f>
        <v>9.0800000034505501E-3</v>
      </c>
      <c r="E6" s="10" cm="1">
        <f t="array" ref="E6">IFERROR(MEDIAN(_xlfn._xlws.FILTER(benchmark_results[runtime_s],(benchmark_results[algo]=E$4)*(benchmark_results[n_tracks]=$A6)*(benchmark_results[timed_out]=FALSE))),"n/a")</f>
        <v>3.1424999906448647E-3</v>
      </c>
      <c r="F6" s="10">
        <f>$A6</f>
        <v>30</v>
      </c>
      <c r="G6" s="10">
        <f>IF(COUNTIFS(benchmark_results[algo],G$4,benchmark_results[n_tracks],$A6,benchmark_results[timed_out],FALSE)=0,"n/a",_xlfn.MAXIFS(benchmark_results[runtime_s],benchmark_results[algo],G$4,benchmark_results[n_tracks],$A6))</f>
        <v>1.4994999946793541E-3</v>
      </c>
      <c r="H6" s="10">
        <f>IF(COUNTIFS(benchmark_results[algo],H$4,benchmark_results[n_tracks],$A6,benchmark_results[timed_out],FALSE)=0,"n/a",_xlfn.MAXIFS(benchmark_results[runtime_s],benchmark_results[algo],H$4,benchmark_results[n_tracks],$A6))</f>
        <v>7.0573738999955822</v>
      </c>
      <c r="I6" s="10">
        <f>IF(COUNTIFS(benchmark_results[algo],I$4,benchmark_results[n_tracks],$A6,benchmark_results[timed_out],FALSE)=0,"n/a",_xlfn.MAXIFS(benchmark_results[runtime_s],benchmark_results[algo],I$4,benchmark_results[n_tracks],$A6))</f>
        <v>6.0041800010367297E-2</v>
      </c>
      <c r="J6" s="10">
        <f>IF(COUNTIFS(benchmark_results[algo],J$4,benchmark_results[n_tracks],$A6,benchmark_results[timed_out],FALSE)=0,"n/a",_xlfn.MAXIFS(benchmark_results[runtime_s],benchmark_results[algo],J$4,benchmark_results[n_tracks],$A6))</f>
        <v>1.9262300003902055E-2</v>
      </c>
      <c r="K6">
        <f>$A6</f>
        <v>30</v>
      </c>
      <c r="L6">
        <f>COUNTIFS(benchmark_results[algo],L$4,benchmark_results[n_tracks],$A6,benchmark_results[timed_out],TRUE)</f>
        <v>12</v>
      </c>
      <c r="M6">
        <f>COUNTIFS(benchmark_results[algo],M$4,benchmark_results[n_tracks],$A6,benchmark_results[timed_out],TRUE)</f>
        <v>10</v>
      </c>
      <c r="N6">
        <f>COUNTIFS(benchmark_results[algo],N$4,benchmark_results[n_tracks],$A6,benchmark_results[timed_out],TRUE)</f>
        <v>0</v>
      </c>
      <c r="O6">
        <f>COUNTIFS(benchmark_results[algo],O$4,benchmark_results[n_tracks],$A6,benchmark_results[timed_out],TRUE)</f>
        <v>0</v>
      </c>
      <c r="P6">
        <f>$A6</f>
        <v>30</v>
      </c>
      <c r="Q6" s="12">
        <f>IFERROR(AVERAGEIFS(benchmark_results[gap_s],benchmark_results[algo],Q$4,benchmark_results[n_tracks],$A6,benchmark_results[timed_out],FALSE),"n/a")</f>
        <v>0</v>
      </c>
      <c r="R6" s="12">
        <f>IFERROR(AVERAGEIFS(benchmark_results[gap_s],benchmark_results[algo],R$4,benchmark_results[n_tracks],$A6,benchmark_results[timed_out],FALSE),"n/a")</f>
        <v>6.6666666666666666E-2</v>
      </c>
      <c r="S6" s="12">
        <f>IFERROR(AVERAGEIFS(benchmark_results[gap_s],benchmark_results[algo],S$4,benchmark_results[n_tracks],$A6,benchmark_results[timed_out],FALSE),"n/a")</f>
        <v>1.1599999999999999</v>
      </c>
      <c r="T6" s="12">
        <f>IFERROR(AVERAGEIFS(benchmark_results[gap_s],benchmark_results[algo],T$4,benchmark_results[n_tracks],$A6,benchmark_results[timed_out],FALSE),"n/a")</f>
        <v>0.04</v>
      </c>
      <c r="V6" s="12" t="str">
        <f>TEXT($A6,"0")</f>
        <v>30</v>
      </c>
      <c r="W6" s="10" cm="1">
        <f t="array" ref="W6">IFERROR(MEDIAN(_xlfn._xlws.FILTER(benchmark_results[runtime_s],(benchmark_results[algo]="design_playlist_"&amp;W$4)*(benchmark_results[n_tracks]=$A6)*(benchmark_results[timed_out]=FALSE))),NA())</f>
        <v>2.5810000079218298E-4</v>
      </c>
      <c r="X6" s="10" cm="1">
        <f t="array" ref="X6">IFERROR(MEDIAN(_xlfn._xlws.FILTER(benchmark_results[runtime_s],(benchmark_results[algo]="design_playlist_"&amp;X$4)*(benchmark_results[n_tracks]=$A6)*(benchmark_results[timed_out]=FALSE))),NA())</f>
        <v>2.8075800000806339E-2</v>
      </c>
      <c r="Y6" s="10" cm="1">
        <f t="array" ref="Y6">IFERROR(MEDIAN(_xlfn._xlws.FILTER(benchmark_results[runtime_s],(benchmark_results[algo]="design_playlist_"&amp;Y$4)*(benchmark_results[n_tracks]=$A6)*(benchmark_results[timed_out]=FALSE))),NA())</f>
        <v>9.0800000034505501E-3</v>
      </c>
      <c r="Z6" s="10" cm="1">
        <f t="array" ref="Z6">IFERROR(MEDIAN(_xlfn._xlws.FILTER(benchmark_results[runtime_s],(benchmark_results[algo]="design_playlist_"&amp;Z$4)*(benchmark_results[n_tracks]=$A6)*(benchmark_results[timed_out]=FALSE))),NA())</f>
        <v>3.1424999906448647E-3</v>
      </c>
      <c r="AB6" t="str">
        <f>TEXT($A6,"0")</f>
        <v>30</v>
      </c>
      <c r="AC6">
        <f>COUNTIFS(benchmark_results[algo],"design_playlist_"&amp;AC$4,benchmark_results[n_tracks],$A6,benchmark_results[timed_out],TRUE)</f>
        <v>12</v>
      </c>
      <c r="AD6">
        <f>COUNTIFS(benchmark_results[algo],"design_playlist_"&amp;AD$4,benchmark_results[n_tracks],$A6,benchmark_results[timed_out],TRUE)</f>
        <v>10</v>
      </c>
      <c r="AE6">
        <f>COUNTIFS(benchmark_results[algo],"design_playlist_"&amp;AE$4,benchmark_results[n_tracks],$A6,benchmark_results[timed_out],TRUE)</f>
        <v>0</v>
      </c>
      <c r="AF6">
        <f>COUNTIFS(benchmark_results[algo],"design_playlist_"&amp;AF$4,benchmark_results[n_tracks],$A6,benchmark_results[timed_out],TRUE)</f>
        <v>0</v>
      </c>
    </row>
    <row r="7" spans="1:32" x14ac:dyDescent="0.3">
      <c r="A7">
        <v>50</v>
      </c>
      <c r="B7" s="10" cm="1">
        <f t="array" ref="B7">IFERROR(MEDIAN(_xlfn._xlws.FILTER(benchmark_results[runtime_s],(benchmark_results[algo]=B$4)*(benchmark_results[n_tracks]=$A7)*(benchmark_results[timed_out]=FALSE))),"n/a")</f>
        <v>6.5279999398626387E-4</v>
      </c>
      <c r="C7" s="10" cm="1">
        <f t="array" ref="C7">IFERROR(MEDIAN(_xlfn._xlws.FILTER(benchmark_results[runtime_s],(benchmark_results[algo]=C$4)*(benchmark_results[n_tracks]=$A7)*(benchmark_results[timed_out]=FALSE))),"n/a")</f>
        <v>0.21523490000254242</v>
      </c>
      <c r="D7" s="10" cm="1">
        <f t="array" ref="D7">IFERROR(MEDIAN(_xlfn._xlws.FILTER(benchmark_results[runtime_s],(benchmark_results[algo]=D$4)*(benchmark_results[n_tracks]=$A7)*(benchmark_results[timed_out]=FALSE))),"n/a")</f>
        <v>1.3782599999103695E-2</v>
      </c>
      <c r="E7" s="10" cm="1">
        <f t="array" ref="E7">IFERROR(MEDIAN(_xlfn._xlws.FILTER(benchmark_results[runtime_s],(benchmark_results[algo]=E$4)*(benchmark_results[n_tracks]=$A7)*(benchmark_results[timed_out]=FALSE))),"n/a")</f>
        <v>5.1500999979907647E-3</v>
      </c>
      <c r="F7" s="10">
        <f>$A7</f>
        <v>50</v>
      </c>
      <c r="G7" s="10">
        <f>IF(COUNTIFS(benchmark_results[algo],G$4,benchmark_results[n_tracks],$A7,benchmark_results[timed_out],FALSE)=0,"n/a",_xlfn.MAXIFS(benchmark_results[runtime_s],benchmark_results[algo],G$4,benchmark_results[n_tracks],$A7))</f>
        <v>1.4076000079512596E-3</v>
      </c>
      <c r="H7" s="10">
        <f>IF(COUNTIFS(benchmark_results[algo],H$4,benchmark_results[n_tracks],$A7,benchmark_results[timed_out],FALSE)=0,"n/a",_xlfn.MAXIFS(benchmark_results[runtime_s],benchmark_results[algo],H$4,benchmark_results[n_tracks],$A7))</f>
        <v>2.0185900999931619</v>
      </c>
      <c r="I7" s="10">
        <f>IF(COUNTIFS(benchmark_results[algo],I$4,benchmark_results[n_tracks],$A7,benchmark_results[timed_out],FALSE)=0,"n/a",_xlfn.MAXIFS(benchmark_results[runtime_s],benchmark_results[algo],I$4,benchmark_results[n_tracks],$A7))</f>
        <v>0.1771605000103591</v>
      </c>
      <c r="J7" s="10">
        <f>IF(COUNTIFS(benchmark_results[algo],J$4,benchmark_results[n_tracks],$A7,benchmark_results[timed_out],FALSE)=0,"n/a",_xlfn.MAXIFS(benchmark_results[runtime_s],benchmark_results[algo],J$4,benchmark_results[n_tracks],$A7))</f>
        <v>7.3383800001465715E-2</v>
      </c>
      <c r="K7">
        <f>$A7</f>
        <v>50</v>
      </c>
      <c r="L7">
        <f>COUNTIFS(benchmark_results[algo],L$4,benchmark_results[n_tracks],$A7,benchmark_results[timed_out],TRUE)</f>
        <v>6</v>
      </c>
      <c r="M7">
        <f>COUNTIFS(benchmark_results[algo],M$4,benchmark_results[n_tracks],$A7,benchmark_results[timed_out],TRUE)</f>
        <v>15</v>
      </c>
      <c r="N7">
        <f>COUNTIFS(benchmark_results[algo],N$4,benchmark_results[n_tracks],$A7,benchmark_results[timed_out],TRUE)</f>
        <v>0</v>
      </c>
      <c r="O7">
        <f>COUNTIFS(benchmark_results[algo],O$4,benchmark_results[n_tracks],$A7,benchmark_results[timed_out],TRUE)</f>
        <v>0</v>
      </c>
      <c r="P7">
        <f>$A7</f>
        <v>50</v>
      </c>
      <c r="Q7" s="12">
        <f>IFERROR(AVERAGEIFS(benchmark_results[gap_s],benchmark_results[algo],Q$4,benchmark_results[n_tracks],$A7,benchmark_results[timed_out],FALSE),"n/a")</f>
        <v>0</v>
      </c>
      <c r="R7" s="12">
        <f>IFERROR(AVERAGEIFS(benchmark_results[gap_s],benchmark_results[algo],R$4,benchmark_results[n_tracks],$A7,benchmark_results[timed_out],FALSE),"n/a")</f>
        <v>0</v>
      </c>
      <c r="S7" s="12">
        <f>IFERROR(AVERAGEIFS(benchmark_results[gap_s],benchmark_results[algo],S$4,benchmark_results[n_tracks],$A7,benchmark_results[timed_out],FALSE),"n/a")</f>
        <v>0</v>
      </c>
      <c r="T7" s="12">
        <f>IFERROR(AVERAGEIFS(benchmark_results[gap_s],benchmark_results[algo],T$4,benchmark_results[n_tracks],$A7,benchmark_results[timed_out],FALSE),"n/a")</f>
        <v>0</v>
      </c>
      <c r="V7" s="12" t="str">
        <f>TEXT($A7,"0")</f>
        <v>50</v>
      </c>
      <c r="W7" s="10" cm="1">
        <f t="array" ref="W7">IFERROR(MEDIAN(_xlfn._xlws.FILTER(benchmark_results[runtime_s],(benchmark_results[algo]="design_playlist_"&amp;W$4)*(benchmark_results[n_tracks]=$A7)*(benchmark_results[timed_out]=FALSE))),NA())</f>
        <v>6.5279999398626387E-4</v>
      </c>
      <c r="X7" s="10" cm="1">
        <f t="array" ref="X7">IFERROR(MEDIAN(_xlfn._xlws.FILTER(benchmark_results[runtime_s],(benchmark_results[algo]="design_playlist_"&amp;X$4)*(benchmark_results[n_tracks]=$A7)*(benchmark_results[timed_out]=FALSE))),NA())</f>
        <v>0.21523490000254242</v>
      </c>
      <c r="Y7" s="10" cm="1">
        <f t="array" ref="Y7">IFERROR(MEDIAN(_xlfn._xlws.FILTER(benchmark_results[runtime_s],(benchmark_results[algo]="design_playlist_"&amp;Y$4)*(benchmark_results[n_tracks]=$A7)*(benchmark_results[timed_out]=FALSE))),NA())</f>
        <v>1.3782599999103695E-2</v>
      </c>
      <c r="Z7" s="10" cm="1">
        <f t="array" ref="Z7">IFERROR(MEDIAN(_xlfn._xlws.FILTER(benchmark_results[runtime_s],(benchmark_results[algo]="design_playlist_"&amp;Z$4)*(benchmark_results[n_tracks]=$A7)*(benchmark_results[timed_out]=FALSE))),NA())</f>
        <v>5.1500999979907647E-3</v>
      </c>
      <c r="AB7" t="str">
        <f>TEXT($A7,"0")</f>
        <v>50</v>
      </c>
      <c r="AC7">
        <f>COUNTIFS(benchmark_results[algo],"design_playlist_"&amp;AC$4,benchmark_results[n_tracks],$A7,benchmark_results[timed_out],TRUE)</f>
        <v>6</v>
      </c>
      <c r="AD7">
        <f>COUNTIFS(benchmark_results[algo],"design_playlist_"&amp;AD$4,benchmark_results[n_tracks],$A7,benchmark_results[timed_out],TRUE)</f>
        <v>15</v>
      </c>
      <c r="AE7">
        <f>COUNTIFS(benchmark_results[algo],"design_playlist_"&amp;AE$4,benchmark_results[n_tracks],$A7,benchmark_results[timed_out],TRUE)</f>
        <v>0</v>
      </c>
      <c r="AF7">
        <f>COUNTIFS(benchmark_results[algo],"design_playlist_"&amp;AF$4,benchmark_results[n_tracks],$A7,benchmark_results[timed_out],TRUE)</f>
        <v>0</v>
      </c>
    </row>
    <row r="8" spans="1:32" x14ac:dyDescent="0.3">
      <c r="A8">
        <v>100</v>
      </c>
      <c r="B8" s="10" cm="1">
        <f t="array" ref="B8">IFERROR(MEDIAN(_xlfn._xlws.FILTER(benchmark_results[runtime_s],(benchmark_results[algo]=B$4)*(benchmark_results[n_tracks]=$A8)*(benchmark_results[timed_out]=FALSE))),"n/a")</f>
        <v>7.073499946272932E-4</v>
      </c>
      <c r="C8" s="10" cm="1">
        <f t="array" ref="C8">IFERROR(MEDIAN(_xlfn._xlws.FILTER(benchmark_results[runtime_s],(benchmark_results[algo]=C$4)*(benchmark_results[n_tracks]=$A8)*(benchmark_results[timed_out]=FALSE))),"n/a")</f>
        <v>0.35812770000484306</v>
      </c>
      <c r="D8" s="10" cm="1">
        <f t="array" ref="D8">IFERROR(MEDIAN(_xlfn._xlws.FILTER(benchmark_results[runtime_s],(benchmark_results[algo]=D$4)*(benchmark_results[n_tracks]=$A8)*(benchmark_results[timed_out]=FALSE))),"n/a")</f>
        <v>4.1201100000762381E-2</v>
      </c>
      <c r="E8" s="10" cm="1">
        <f t="array" ref="E8">IFERROR(MEDIAN(_xlfn._xlws.FILTER(benchmark_results[runtime_s],(benchmark_results[algo]=E$4)*(benchmark_results[n_tracks]=$A8)*(benchmark_results[timed_out]=FALSE))),"n/a")</f>
        <v>1.4605000003939494E-2</v>
      </c>
      <c r="F8" s="10">
        <f>$A8</f>
        <v>100</v>
      </c>
      <c r="G8" s="10">
        <f>IF(COUNTIFS(benchmark_results[algo],G$4,benchmark_results[n_tracks],$A8,benchmark_results[timed_out],FALSE)=0,"n/a",_xlfn.MAXIFS(benchmark_results[runtime_s],benchmark_results[algo],G$4,benchmark_results[n_tracks],$A8))</f>
        <v>1.0678999999072403E-2</v>
      </c>
      <c r="H8" s="10">
        <f>IF(COUNTIFS(benchmark_results[algo],H$4,benchmark_results[n_tracks],$A8,benchmark_results[timed_out],FALSE)=0,"n/a",_xlfn.MAXIFS(benchmark_results[runtime_s],benchmark_results[algo],H$4,benchmark_results[n_tracks],$A8))</f>
        <v>0.4344965000054799</v>
      </c>
      <c r="I8" s="10">
        <f>IF(COUNTIFS(benchmark_results[algo],I$4,benchmark_results[n_tracks],$A8,benchmark_results[timed_out],FALSE)=0,"n/a",_xlfn.MAXIFS(benchmark_results[runtime_s],benchmark_results[algo],I$4,benchmark_results[n_tracks],$A8))</f>
        <v>0.62735880000400357</v>
      </c>
      <c r="J8" s="10">
        <f>IF(COUNTIFS(benchmark_results[algo],J$4,benchmark_results[n_tracks],$A8,benchmark_results[timed_out],FALSE)=0,"n/a",_xlfn.MAXIFS(benchmark_results[runtime_s],benchmark_results[algo],J$4,benchmark_results[n_tracks],$A8))</f>
        <v>0.21641209999506827</v>
      </c>
      <c r="K8">
        <f>$A8</f>
        <v>100</v>
      </c>
      <c r="L8">
        <f>COUNTIFS(benchmark_results[algo],L$4,benchmark_results[n_tracks],$A8,benchmark_results[timed_out],TRUE)</f>
        <v>3</v>
      </c>
      <c r="M8">
        <f>COUNTIFS(benchmark_results[algo],M$4,benchmark_results[n_tracks],$A8,benchmark_results[timed_out],TRUE)</f>
        <v>20</v>
      </c>
      <c r="N8">
        <f>COUNTIFS(benchmark_results[algo],N$4,benchmark_results[n_tracks],$A8,benchmark_results[timed_out],TRUE)</f>
        <v>0</v>
      </c>
      <c r="O8">
        <f>COUNTIFS(benchmark_results[algo],O$4,benchmark_results[n_tracks],$A8,benchmark_results[timed_out],TRUE)</f>
        <v>0</v>
      </c>
      <c r="P8">
        <f>$A8</f>
        <v>100</v>
      </c>
      <c r="Q8" s="12">
        <f>IFERROR(AVERAGEIFS(benchmark_results[gap_s],benchmark_results[algo],Q$4,benchmark_results[n_tracks],$A8,benchmark_results[timed_out],FALSE),"n/a")</f>
        <v>0</v>
      </c>
      <c r="R8" s="12">
        <f>IFERROR(AVERAGEIFS(benchmark_results[gap_s],benchmark_results[algo],R$4,benchmark_results[n_tracks],$A8,benchmark_results[timed_out],FALSE),"n/a")</f>
        <v>0</v>
      </c>
      <c r="S8" s="12">
        <f>IFERROR(AVERAGEIFS(benchmark_results[gap_s],benchmark_results[algo],S$4,benchmark_results[n_tracks],$A8,benchmark_results[timed_out],FALSE),"n/a")</f>
        <v>0</v>
      </c>
      <c r="T8" s="12">
        <f>IFERROR(AVERAGEIFS(benchmark_results[gap_s],benchmark_results[algo],T$4,benchmark_results[n_tracks],$A8,benchmark_results[timed_out],FALSE),"n/a")</f>
        <v>0</v>
      </c>
      <c r="V8" s="12" t="str">
        <f>TEXT($A8,"0")</f>
        <v>100</v>
      </c>
      <c r="W8" s="10" cm="1">
        <f t="array" ref="W8">IFERROR(MEDIAN(_xlfn._xlws.FILTER(benchmark_results[runtime_s],(benchmark_results[algo]="design_playlist_"&amp;W$4)*(benchmark_results[n_tracks]=$A8)*(benchmark_results[timed_out]=FALSE))),NA())</f>
        <v>7.073499946272932E-4</v>
      </c>
      <c r="X8" s="10" cm="1">
        <f t="array" ref="X8">IFERROR(MEDIAN(_xlfn._xlws.FILTER(benchmark_results[runtime_s],(benchmark_results[algo]="design_playlist_"&amp;X$4)*(benchmark_results[n_tracks]=$A8)*(benchmark_results[timed_out]=FALSE))),NA())</f>
        <v>0.35812770000484306</v>
      </c>
      <c r="Y8" s="10" cm="1">
        <f t="array" ref="Y8">IFERROR(MEDIAN(_xlfn._xlws.FILTER(benchmark_results[runtime_s],(benchmark_results[algo]="design_playlist_"&amp;Y$4)*(benchmark_results[n_tracks]=$A8)*(benchmark_results[timed_out]=FALSE))),NA())</f>
        <v>4.1201100000762381E-2</v>
      </c>
      <c r="Z8" s="10" cm="1">
        <f t="array" ref="Z8">IFERROR(MEDIAN(_xlfn._xlws.FILTER(benchmark_results[runtime_s],(benchmark_results[algo]="design_playlist_"&amp;Z$4)*(benchmark_results[n_tracks]=$A8)*(benchmark_results[timed_out]=FALSE))),NA())</f>
        <v>1.4605000003939494E-2</v>
      </c>
      <c r="AB8" t="str">
        <f>TEXT($A8,"0")</f>
        <v>100</v>
      </c>
      <c r="AC8">
        <f>COUNTIFS(benchmark_results[algo],"design_playlist_"&amp;AC$4,benchmark_results[n_tracks],$A8,benchmark_results[timed_out],TRUE)</f>
        <v>3</v>
      </c>
      <c r="AD8">
        <f>COUNTIFS(benchmark_results[algo],"design_playlist_"&amp;AD$4,benchmark_results[n_tracks],$A8,benchmark_results[timed_out],TRUE)</f>
        <v>20</v>
      </c>
      <c r="AE8">
        <f>COUNTIFS(benchmark_results[algo],"design_playlist_"&amp;AE$4,benchmark_results[n_tracks],$A8,benchmark_results[timed_out],TRUE)</f>
        <v>0</v>
      </c>
      <c r="AF8">
        <f>COUNTIFS(benchmark_results[algo],"design_playlist_"&amp;AF$4,benchmark_results[n_tracks],$A8,benchmark_results[timed_out],TRUE)</f>
        <v>0</v>
      </c>
    </row>
    <row r="9" spans="1:32" x14ac:dyDescent="0.3">
      <c r="A9">
        <v>200</v>
      </c>
      <c r="B9" s="10" cm="1">
        <f t="array" ref="B9">IFERROR(MEDIAN(_xlfn._xlws.FILTER(benchmark_results[runtime_s],(benchmark_results[algo]=B$4)*(benchmark_results[n_tracks]=$A9)*(benchmark_results[timed_out]=FALSE))),"n/a")</f>
        <v>5.4799999634269625E-4</v>
      </c>
      <c r="C9" s="10" t="str" cm="1">
        <f t="array" ref="C9">IFERROR(MEDIAN(_xlfn._xlws.FILTER(benchmark_results[runtime_s],(benchmark_results[algo]=C$4)*(benchmark_results[n_tracks]=$A9)*(benchmark_results[timed_out]=FALSE))),"n/a")</f>
        <v>n/a</v>
      </c>
      <c r="D9" s="10" cm="1">
        <f t="array" ref="D9">IFERROR(MEDIAN(_xlfn._xlws.FILTER(benchmark_results[runtime_s],(benchmark_results[algo]=D$4)*(benchmark_results[n_tracks]=$A9)*(benchmark_results[timed_out]=FALSE))),"n/a")</f>
        <v>8.8659500004723668E-2</v>
      </c>
      <c r="E9" s="10" cm="1">
        <f t="array" ref="E9">IFERROR(MEDIAN(_xlfn._xlws.FILTER(benchmark_results[runtime_s],(benchmark_results[algo]=E$4)*(benchmark_results[n_tracks]=$A9)*(benchmark_results[timed_out]=FALSE))),"n/a")</f>
        <v>2.5429299988900311E-2</v>
      </c>
      <c r="F9" s="10">
        <f>$A9</f>
        <v>200</v>
      </c>
      <c r="G9" s="10">
        <f>IF(COUNTIFS(benchmark_results[algo],G$4,benchmark_results[n_tracks],$A9,benchmark_results[timed_out],FALSE)=0,"n/a",_xlfn.MAXIFS(benchmark_results[runtime_s],benchmark_results[algo],G$4,benchmark_results[n_tracks],$A9))</f>
        <v>4.7137000074144453E-3</v>
      </c>
      <c r="H9" s="10" t="str">
        <f>IF(COUNTIFS(benchmark_results[algo],H$4,benchmark_results[n_tracks],$A9,benchmark_results[timed_out],FALSE)=0,"n/a",_xlfn.MAXIFS(benchmark_results[runtime_s],benchmark_results[algo],H$4,benchmark_results[n_tracks],$A9))</f>
        <v>n/a</v>
      </c>
      <c r="I9" s="10">
        <f>IF(COUNTIFS(benchmark_results[algo],I$4,benchmark_results[n_tracks],$A9,benchmark_results[timed_out],FALSE)=0,"n/a",_xlfn.MAXIFS(benchmark_results[runtime_s],benchmark_results[algo],I$4,benchmark_results[n_tracks],$A9))</f>
        <v>1.3760342000023229</v>
      </c>
      <c r="J9" s="10">
        <f>IF(COUNTIFS(benchmark_results[algo],J$4,benchmark_results[n_tracks],$A9,benchmark_results[timed_out],FALSE)=0,"n/a",_xlfn.MAXIFS(benchmark_results[runtime_s],benchmark_results[algo],J$4,benchmark_results[n_tracks],$A9))</f>
        <v>0.67888750000565778</v>
      </c>
      <c r="K9">
        <f>$A9</f>
        <v>200</v>
      </c>
      <c r="L9">
        <f>COUNTIFS(benchmark_results[algo],L$4,benchmark_results[n_tracks],$A9,benchmark_results[timed_out],TRUE)</f>
        <v>0</v>
      </c>
      <c r="M9">
        <f>COUNTIFS(benchmark_results[algo],M$4,benchmark_results[n_tracks],$A9,benchmark_results[timed_out],TRUE)</f>
        <v>25</v>
      </c>
      <c r="N9">
        <f>COUNTIFS(benchmark_results[algo],N$4,benchmark_results[n_tracks],$A9,benchmark_results[timed_out],TRUE)</f>
        <v>0</v>
      </c>
      <c r="O9">
        <f>COUNTIFS(benchmark_results[algo],O$4,benchmark_results[n_tracks],$A9,benchmark_results[timed_out],TRUE)</f>
        <v>0</v>
      </c>
      <c r="P9">
        <f>$A9</f>
        <v>200</v>
      </c>
      <c r="Q9" s="12">
        <f>IFERROR(AVERAGEIFS(benchmark_results[gap_s],benchmark_results[algo],Q$4,benchmark_results[n_tracks],$A9,benchmark_results[timed_out],FALSE),"n/a")</f>
        <v>0</v>
      </c>
      <c r="R9" s="12" t="str">
        <f>IFERROR(AVERAGEIFS(benchmark_results[gap_s],benchmark_results[algo],R$4,benchmark_results[n_tracks],$A9,benchmark_results[timed_out],FALSE),"n/a")</f>
        <v>n/a</v>
      </c>
      <c r="S9" s="12">
        <f>IFERROR(AVERAGEIFS(benchmark_results[gap_s],benchmark_results[algo],S$4,benchmark_results[n_tracks],$A9,benchmark_results[timed_out],FALSE),"n/a")</f>
        <v>0</v>
      </c>
      <c r="T9" s="12">
        <f>IFERROR(AVERAGEIFS(benchmark_results[gap_s],benchmark_results[algo],T$4,benchmark_results[n_tracks],$A9,benchmark_results[timed_out],FALSE),"n/a")</f>
        <v>0</v>
      </c>
      <c r="V9" s="12" t="str">
        <f>TEXT($A9,"0")</f>
        <v>200</v>
      </c>
      <c r="W9" s="10" cm="1">
        <f t="array" ref="W9">IFERROR(MEDIAN(_xlfn._xlws.FILTER(benchmark_results[runtime_s],(benchmark_results[algo]="design_playlist_"&amp;W$4)*(benchmark_results[n_tracks]=$A9)*(benchmark_results[timed_out]=FALSE))),NA())</f>
        <v>5.4799999634269625E-4</v>
      </c>
      <c r="X9" s="10" t="e" cm="1">
        <f t="array" ref="X9">IFERROR(MEDIAN(_xlfn._xlws.FILTER(benchmark_results[runtime_s],(benchmark_results[algo]="design_playlist_"&amp;X$4)*(benchmark_results[n_tracks]=$A9)*(benchmark_results[timed_out]=FALSE))),NA())</f>
        <v>#N/A</v>
      </c>
      <c r="Y9" s="10" cm="1">
        <f t="array" ref="Y9">IFERROR(MEDIAN(_xlfn._xlws.FILTER(benchmark_results[runtime_s],(benchmark_results[algo]="design_playlist_"&amp;Y$4)*(benchmark_results[n_tracks]=$A9)*(benchmark_results[timed_out]=FALSE))),NA())</f>
        <v>8.8659500004723668E-2</v>
      </c>
      <c r="Z9" s="10" cm="1">
        <f t="array" ref="Z9">IFERROR(MEDIAN(_xlfn._xlws.FILTER(benchmark_results[runtime_s],(benchmark_results[algo]="design_playlist_"&amp;Z$4)*(benchmark_results[n_tracks]=$A9)*(benchmark_results[timed_out]=FALSE))),NA())</f>
        <v>2.5429299988900311E-2</v>
      </c>
      <c r="AB9" t="str">
        <f>TEXT($A9,"0")</f>
        <v>200</v>
      </c>
      <c r="AC9">
        <f>COUNTIFS(benchmark_results[algo],"design_playlist_"&amp;AC$4,benchmark_results[n_tracks],$A9,benchmark_results[timed_out],TRUE)</f>
        <v>0</v>
      </c>
      <c r="AD9">
        <f>COUNTIFS(benchmark_results[algo],"design_playlist_"&amp;AD$4,benchmark_results[n_tracks],$A9,benchmark_results[timed_out],TRUE)</f>
        <v>25</v>
      </c>
      <c r="AE9">
        <f>COUNTIFS(benchmark_results[algo],"design_playlist_"&amp;AE$4,benchmark_results[n_tracks],$A9,benchmark_results[timed_out],TRUE)</f>
        <v>0</v>
      </c>
      <c r="AF9">
        <f>COUNTIFS(benchmark_results[algo],"design_playlist_"&amp;AF$4,benchmark_results[n_tracks],$A9,benchmark_results[timed_out],TRUE)</f>
        <v>0</v>
      </c>
    </row>
    <row r="10" spans="1:32" x14ac:dyDescent="0.3">
      <c r="A10">
        <v>400</v>
      </c>
      <c r="B10" s="10" cm="1">
        <f t="array" ref="B10">IFERROR(MEDIAN(_xlfn._xlws.FILTER(benchmark_results[runtime_s],(benchmark_results[algo]=B$4)*(benchmark_results[n_tracks]=$A10)*(benchmark_results[timed_out]=FALSE))),"n/a")</f>
        <v>6.5500000346219167E-4</v>
      </c>
      <c r="C10" s="10" t="str" cm="1">
        <f t="array" ref="C10">IFERROR(MEDIAN(_xlfn._xlws.FILTER(benchmark_results[runtime_s],(benchmark_results[algo]=C$4)*(benchmark_results[n_tracks]=$A10)*(benchmark_results[timed_out]=FALSE))),"n/a")</f>
        <v>n/a</v>
      </c>
      <c r="D10" s="10" cm="1">
        <f t="array" ref="D10">IFERROR(MEDIAN(_xlfn._xlws.FILTER(benchmark_results[runtime_s],(benchmark_results[algo]=D$4)*(benchmark_results[n_tracks]=$A10)*(benchmark_results[timed_out]=FALSE))),"n/a")</f>
        <v>0.19200979999732226</v>
      </c>
      <c r="E10" s="10" cm="1">
        <f t="array" ref="E10">IFERROR(MEDIAN(_xlfn._xlws.FILTER(benchmark_results[runtime_s],(benchmark_results[algo]=E$4)*(benchmark_results[n_tracks]=$A10)*(benchmark_results[timed_out]=FALSE))),"n/a")</f>
        <v>6.746930000372231E-2</v>
      </c>
      <c r="F10" s="10">
        <f>$A10</f>
        <v>400</v>
      </c>
      <c r="G10" s="10">
        <f>IF(COUNTIFS(benchmark_results[algo],G$4,benchmark_results[n_tracks],$A10,benchmark_results[timed_out],FALSE)=0,"n/a",_xlfn.MAXIFS(benchmark_results[runtime_s],benchmark_results[algo],G$4,benchmark_results[n_tracks],$A10))</f>
        <v>1.1334200011333451E-2</v>
      </c>
      <c r="H10" s="10" t="str">
        <f>IF(COUNTIFS(benchmark_results[algo],H$4,benchmark_results[n_tracks],$A10,benchmark_results[timed_out],FALSE)=0,"n/a",_xlfn.MAXIFS(benchmark_results[runtime_s],benchmark_results[algo],H$4,benchmark_results[n_tracks],$A10))</f>
        <v>n/a</v>
      </c>
      <c r="I10" s="10">
        <f>IF(COUNTIFS(benchmark_results[algo],I$4,benchmark_results[n_tracks],$A10,benchmark_results[timed_out],FALSE)=0,"n/a",_xlfn.MAXIFS(benchmark_results[runtime_s],benchmark_results[algo],I$4,benchmark_results[n_tracks],$A10))</f>
        <v>4.1035292000015033</v>
      </c>
      <c r="J10" s="10">
        <f>IF(COUNTIFS(benchmark_results[algo],J$4,benchmark_results[n_tracks],$A10,benchmark_results[timed_out],FALSE)=0,"n/a",_xlfn.MAXIFS(benchmark_results[runtime_s],benchmark_results[algo],J$4,benchmark_results[n_tracks],$A10))</f>
        <v>1.490365000005113</v>
      </c>
      <c r="K10">
        <f>$A10</f>
        <v>400</v>
      </c>
      <c r="L10">
        <f>COUNTIFS(benchmark_results[algo],L$4,benchmark_results[n_tracks],$A10,benchmark_results[timed_out],TRUE)</f>
        <v>3</v>
      </c>
      <c r="M10">
        <f>COUNTIFS(benchmark_results[algo],M$4,benchmark_results[n_tracks],$A10,benchmark_results[timed_out],TRUE)</f>
        <v>25</v>
      </c>
      <c r="N10">
        <f>COUNTIFS(benchmark_results[algo],N$4,benchmark_results[n_tracks],$A10,benchmark_results[timed_out],TRUE)</f>
        <v>0</v>
      </c>
      <c r="O10">
        <f>COUNTIFS(benchmark_results[algo],O$4,benchmark_results[n_tracks],$A10,benchmark_results[timed_out],TRUE)</f>
        <v>0</v>
      </c>
      <c r="P10">
        <f>$A10</f>
        <v>400</v>
      </c>
      <c r="Q10" s="12">
        <f>IFERROR(AVERAGEIFS(benchmark_results[gap_s],benchmark_results[algo],Q$4,benchmark_results[n_tracks],$A10,benchmark_results[timed_out],FALSE),"n/a")</f>
        <v>0</v>
      </c>
      <c r="R10" s="12" t="str">
        <f>IFERROR(AVERAGEIFS(benchmark_results[gap_s],benchmark_results[algo],R$4,benchmark_results[n_tracks],$A10,benchmark_results[timed_out],FALSE),"n/a")</f>
        <v>n/a</v>
      </c>
      <c r="S10" s="12">
        <f>IFERROR(AVERAGEIFS(benchmark_results[gap_s],benchmark_results[algo],S$4,benchmark_results[n_tracks],$A10,benchmark_results[timed_out],FALSE),"n/a")</f>
        <v>0</v>
      </c>
      <c r="T10" s="12">
        <f>IFERROR(AVERAGEIFS(benchmark_results[gap_s],benchmark_results[algo],T$4,benchmark_results[n_tracks],$A10,benchmark_results[timed_out],FALSE),"n/a")</f>
        <v>0</v>
      </c>
      <c r="V10" s="12" t="str">
        <f>TEXT($A10,"0")</f>
        <v>400</v>
      </c>
      <c r="W10" s="10" cm="1">
        <f t="array" ref="W10">IFERROR(MEDIAN(_xlfn._xlws.FILTER(benchmark_results[runtime_s],(benchmark_results[algo]="design_playlist_"&amp;W$4)*(benchmark_results[n_tracks]=$A10)*(benchmark_results[timed_out]=FALSE))),NA())</f>
        <v>6.5500000346219167E-4</v>
      </c>
      <c r="X10" s="10" t="e" cm="1">
        <f t="array" ref="X10">IFERROR(MEDIAN(_xlfn._xlws.FILTER(benchmark_results[runtime_s],(benchmark_results[algo]="design_playlist_"&amp;X$4)*(benchmark_results[n_tracks]=$A10)*(benchmark_results[timed_out]=FALSE))),NA())</f>
        <v>#N/A</v>
      </c>
      <c r="Y10" s="10" cm="1">
        <f t="array" ref="Y10">IFERROR(MEDIAN(_xlfn._xlws.FILTER(benchmark_results[runtime_s],(benchmark_results[algo]="design_playlist_"&amp;Y$4)*(benchmark_results[n_tracks]=$A10)*(benchmark_results[timed_out]=FALSE))),NA())</f>
        <v>0.19200979999732226</v>
      </c>
      <c r="Z10" s="10" cm="1">
        <f t="array" ref="Z10">IFERROR(MEDIAN(_xlfn._xlws.FILTER(benchmark_results[runtime_s],(benchmark_results[algo]="design_playlist_"&amp;Z$4)*(benchmark_results[n_tracks]=$A10)*(benchmark_results[timed_out]=FALSE))),NA())</f>
        <v>6.746930000372231E-2</v>
      </c>
      <c r="AB10" t="str">
        <f>TEXT($A10,"0")</f>
        <v>400</v>
      </c>
      <c r="AC10">
        <f>COUNTIFS(benchmark_results[algo],"design_playlist_"&amp;AC$4,benchmark_results[n_tracks],$A10,benchmark_results[timed_out],TRUE)</f>
        <v>3</v>
      </c>
      <c r="AD10">
        <f>COUNTIFS(benchmark_results[algo],"design_playlist_"&amp;AD$4,benchmark_results[n_tracks],$A10,benchmark_results[timed_out],TRUE)</f>
        <v>25</v>
      </c>
      <c r="AE10">
        <f>COUNTIFS(benchmark_results[algo],"design_playlist_"&amp;AE$4,benchmark_results[n_tracks],$A10,benchmark_results[timed_out],TRUE)</f>
        <v>0</v>
      </c>
      <c r="AF10">
        <f>COUNTIFS(benchmark_results[algo],"design_playlist_"&amp;AF$4,benchmark_results[n_tracks],$A10,benchmark_results[timed_out],TRUE)</f>
        <v>0</v>
      </c>
    </row>
    <row r="12" spans="1:32" x14ac:dyDescent="0.3">
      <c r="A12" s="7" t="s">
        <v>45</v>
      </c>
    </row>
    <row r="13" spans="1:32" x14ac:dyDescent="0.3">
      <c r="A13" t="s">
        <v>46</v>
      </c>
      <c r="B13" s="18" cm="1">
        <f t="array" ref="B13">IFERROR(SLOPE(LOG10(B$5:B$10),LOG10($A$5:$A$10)),"n/a")</f>
        <v>0.82499852606486912</v>
      </c>
      <c r="C13" s="18" t="str" cm="1">
        <f t="array" ref="C13">IFERROR(SLOPE(LOG10(C$5:C$10),LOG10($A$5:$A$10)),"n/a")</f>
        <v>n/a</v>
      </c>
      <c r="D13" s="18" cm="1">
        <f t="array" ref="D13">IFERROR(SLOPE(LOG10(D$5:D$10),LOG10($A$5:$A$10)),"n/a")</f>
        <v>1.6233051731311776</v>
      </c>
      <c r="E13" s="18" cm="1">
        <f t="array" ref="E13">IFERROR(SLOPE(LOG10(E$5:E$10),LOG10($A$5:$A$10)),"n/a")</f>
        <v>1.4356696823749588</v>
      </c>
    </row>
    <row r="14" spans="1:32" x14ac:dyDescent="0.3">
      <c r="A14" t="s">
        <v>47</v>
      </c>
      <c r="B14" s="19">
        <f>IFERROR(2^B13,"n/a")</f>
        <v>1.7715332283098226</v>
      </c>
      <c r="C14" s="19" t="str">
        <f t="shared" ref="C14:E14" si="0">IFERROR(2^C13,"n/a")</f>
        <v>n/a</v>
      </c>
      <c r="D14" s="19">
        <f t="shared" si="0"/>
        <v>3.0808003093914738</v>
      </c>
      <c r="E14" s="19">
        <f t="shared" si="0"/>
        <v>2.7050770401872377</v>
      </c>
    </row>
    <row r="15" spans="1:32" x14ac:dyDescent="0.3">
      <c r="A15" t="s">
        <v>48</v>
      </c>
      <c r="B15" s="18" cm="1">
        <f t="array" ref="B15">IFERROR(RSQ(LOG10(B$5:B$10),LOG10($A$5:$A$10)),"n/a")</f>
        <v>0.64508478980192596</v>
      </c>
      <c r="C15" s="18" t="str" cm="1">
        <f t="array" ref="C15">IFERROR(RSQ(LOG10(C$5:C$10),LOG10($A$5:$A$10)),"n/a")</f>
        <v>n/a</v>
      </c>
      <c r="D15" s="18" cm="1">
        <f t="array" ref="D15">IFERROR(RSQ(LOG10(D$5:D$10),LOG10($A$5:$A$10)),"n/a")</f>
        <v>0.94192279288171132</v>
      </c>
      <c r="E15" s="18" cm="1">
        <f t="array" ref="E15">IFERROR(RSQ(LOG10(E$5:E$10),LOG10($A$5:$A$10)),"n/a")</f>
        <v>0.96812822043434621</v>
      </c>
    </row>
    <row r="17" spans="1:1" x14ac:dyDescent="0.3">
      <c r="A17" s="3" t="s">
        <v>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79C63-31F3-481D-A389-A39753006237}">
  <dimension ref="A1:AF11"/>
  <sheetViews>
    <sheetView topLeftCell="A6" workbookViewId="0"/>
  </sheetViews>
  <sheetFormatPr defaultRowHeight="14.4" x14ac:dyDescent="0.3"/>
  <cols>
    <col min="1" max="1" width="16.6640625" customWidth="1"/>
    <col min="2" max="20" width="19.44140625" customWidth="1"/>
  </cols>
  <sheetData>
    <row r="1" spans="1:32" ht="18" x14ac:dyDescent="0.35">
      <c r="A1" s="9" t="s">
        <v>23</v>
      </c>
    </row>
    <row r="2" spans="1:32" x14ac:dyDescent="0.3">
      <c r="A2" s="3" t="s">
        <v>24</v>
      </c>
    </row>
    <row r="3" spans="1:32" x14ac:dyDescent="0.3">
      <c r="B3" s="7" t="s">
        <v>41</v>
      </c>
      <c r="G3" s="7" t="s">
        <v>42</v>
      </c>
      <c r="L3" s="15" t="s">
        <v>50</v>
      </c>
      <c r="Q3" s="16" t="s">
        <v>44</v>
      </c>
      <c r="V3" s="7" t="s">
        <v>93</v>
      </c>
      <c r="AB3" s="15" t="s">
        <v>96</v>
      </c>
    </row>
    <row r="4" spans="1:32" x14ac:dyDescent="0.3">
      <c r="A4" s="4" t="s">
        <v>3</v>
      </c>
      <c r="B4" s="17" t="s">
        <v>7</v>
      </c>
      <c r="C4" s="17" t="s">
        <v>8</v>
      </c>
      <c r="D4" s="17" t="s">
        <v>9</v>
      </c>
      <c r="E4" s="17" t="s">
        <v>10</v>
      </c>
      <c r="F4" s="5" t="s">
        <v>3</v>
      </c>
      <c r="G4" s="17" t="s">
        <v>7</v>
      </c>
      <c r="H4" s="17" t="s">
        <v>8</v>
      </c>
      <c r="I4" s="17" t="s">
        <v>9</v>
      </c>
      <c r="J4" s="17" t="s">
        <v>10</v>
      </c>
      <c r="K4" s="5" t="s">
        <v>3</v>
      </c>
      <c r="L4" s="17" t="s">
        <v>7</v>
      </c>
      <c r="M4" s="17" t="s">
        <v>8</v>
      </c>
      <c r="N4" s="17" t="s">
        <v>9</v>
      </c>
      <c r="O4" s="17" t="s">
        <v>10</v>
      </c>
      <c r="P4" s="5" t="s">
        <v>3</v>
      </c>
      <c r="Q4" s="17" t="s">
        <v>7</v>
      </c>
      <c r="R4" s="17" t="s">
        <v>8</v>
      </c>
      <c r="S4" s="17" t="s">
        <v>9</v>
      </c>
      <c r="T4" s="17" t="s">
        <v>10</v>
      </c>
      <c r="V4" s="6" t="s">
        <v>3</v>
      </c>
      <c r="W4" s="6" t="s">
        <v>94</v>
      </c>
      <c r="X4" s="6" t="s">
        <v>67</v>
      </c>
      <c r="Y4" s="6" t="s">
        <v>68</v>
      </c>
      <c r="Z4" s="6" t="s">
        <v>69</v>
      </c>
      <c r="AB4" s="6" t="s">
        <v>3</v>
      </c>
      <c r="AC4" s="6" t="s">
        <v>94</v>
      </c>
      <c r="AD4" s="6" t="s">
        <v>67</v>
      </c>
      <c r="AE4" s="6" t="s">
        <v>68</v>
      </c>
      <c r="AF4" s="6" t="s">
        <v>69</v>
      </c>
    </row>
    <row r="5" spans="1:32" x14ac:dyDescent="0.3">
      <c r="A5">
        <v>300</v>
      </c>
      <c r="B5" s="10" cm="1">
        <f t="array" ref="B5">IFERROR(MEDIAN(_xlfn._xlws.FILTER(benchmark_results[runtime_s],(benchmark_results[algo]=B$4)*(benchmark_results[target_s]=$A5)*(benchmark_results[timed_out]=FALSE))),"n/a")</f>
        <v>3.7234999763313681E-4</v>
      </c>
      <c r="C5" s="10" cm="1">
        <f t="array" ref="C5">IFERROR(MEDIAN(_xlfn._xlws.FILTER(benchmark_results[runtime_s],(benchmark_results[algo]=C$4)*(benchmark_results[target_s]=$A5)*(benchmark_results[timed_out]=FALSE))),"n/a")</f>
        <v>4.4403499996406026E-3</v>
      </c>
      <c r="D5" s="10" cm="1">
        <f t="array" ref="D5">IFERROR(MEDIAN(_xlfn._xlws.FILTER(benchmark_results[runtime_s],(benchmark_results[algo]=D$4)*(benchmark_results[target_s]=$A5)*(benchmark_results[timed_out]=FALSE))),"n/a")</f>
        <v>1.5707999918959104E-3</v>
      </c>
      <c r="E5" s="10" cm="1">
        <f t="array" ref="E5">IFERROR(MEDIAN(_xlfn._xlws.FILTER(benchmark_results[runtime_s],(benchmark_results[algo]=E$4)*(benchmark_results[target_s]=$A5)*(benchmark_results[timed_out]=FALSE))),"n/a")</f>
        <v>9.6885000675683841E-4</v>
      </c>
      <c r="F5">
        <f>$A5</f>
        <v>300</v>
      </c>
      <c r="G5" s="10">
        <f>IF(COUNTIFS(benchmark_results[algo],G$4,benchmark_results[target_s],$A5,benchmark_results[timed_out],FALSE)=0,"n/a",_xlfn.MAXIFS(benchmark_results[runtime_s],benchmark_results[algo],G$4,benchmark_results[target_s],$A5))</f>
        <v>2.1921000006841496E-3</v>
      </c>
      <c r="H5" s="10">
        <f>IF(COUNTIFS(benchmark_results[algo],H$4,benchmark_results[target_s],$A5,benchmark_results[timed_out],FALSE)=0,"n/a",_xlfn.MAXIFS(benchmark_results[runtime_s],benchmark_results[algo],H$4,benchmark_results[target_s],$A5))</f>
        <v>0.4344965000054799</v>
      </c>
      <c r="I5" s="10">
        <f>IF(COUNTIFS(benchmark_results[algo],I$4,benchmark_results[target_s],$A5,benchmark_results[timed_out],FALSE)=0,"n/a",_xlfn.MAXIFS(benchmark_results[runtime_s],benchmark_results[algo],I$4,benchmark_results[target_s],$A5))</f>
        <v>2.1353799995267764E-2</v>
      </c>
      <c r="J5" s="10">
        <f>IF(COUNTIFS(benchmark_results[algo],J$4,benchmark_results[target_s],$A5,benchmark_results[timed_out],FALSE)=0,"n/a",_xlfn.MAXIFS(benchmark_results[runtime_s],benchmark_results[algo],J$4,benchmark_results[target_s],$A5))</f>
        <v>1.2106300011510029E-2</v>
      </c>
      <c r="K5">
        <f>$A5</f>
        <v>300</v>
      </c>
      <c r="L5">
        <f>COUNTIFS(benchmark_results[algo],L$4,benchmark_results[target_s],$A5,benchmark_results[timed_out],TRUE)</f>
        <v>20</v>
      </c>
      <c r="M5">
        <f>COUNTIFS(benchmark_results[algo],M$4,benchmark_results[target_s],$A5,benchmark_results[timed_out],TRUE)</f>
        <v>10</v>
      </c>
      <c r="N5">
        <f>COUNTIFS(benchmark_results[algo],N$4,benchmark_results[target_s],$A5,benchmark_results[timed_out],TRUE)</f>
        <v>0</v>
      </c>
      <c r="O5">
        <f>COUNTIFS(benchmark_results[algo],O$4,benchmark_results[target_s],$A5,benchmark_results[timed_out],TRUE)</f>
        <v>0</v>
      </c>
      <c r="P5">
        <f>$A5</f>
        <v>300</v>
      </c>
      <c r="Q5" s="12">
        <f>IFERROR(AVERAGEIFS(benchmark_results[gap_s],benchmark_results[algo],Q$4,benchmark_results[target_s],$A5,benchmark_results[timed_out],FALSE),"n/a")</f>
        <v>0</v>
      </c>
      <c r="R5" s="12">
        <f>IFERROR(AVERAGEIFS(benchmark_results[gap_s],benchmark_results[algo],R$4,benchmark_results[target_s],$A5,benchmark_results[timed_out],FALSE),"n/a")</f>
        <v>1.1499999999999999</v>
      </c>
      <c r="S5" s="12">
        <f>IFERROR(AVERAGEIFS(benchmark_results[gap_s],benchmark_results[algo],S$4,benchmark_results[target_s],$A5,benchmark_results[timed_out],FALSE),"n/a")</f>
        <v>0.76666666666666672</v>
      </c>
      <c r="T5" s="12">
        <f>IFERROR(AVERAGEIFS(benchmark_results[gap_s],benchmark_results[algo],T$4,benchmark_results[target_s],$A5,benchmark_results[timed_out],FALSE),"n/a")</f>
        <v>0.76666666666666672</v>
      </c>
      <c r="V5" t="str">
        <f>TEXT($A5,"0")</f>
        <v>300</v>
      </c>
      <c r="W5" s="10" cm="1">
        <f t="array" ref="W5">IFERROR(MEDIAN(_xlfn._xlws.FILTER(benchmark_results[runtime_s],(benchmark_results[algo]="design_playlist_"&amp;W$4)*(benchmark_results[target_s]=$A5)*(benchmark_results[timed_out]=FALSE))),NA())</f>
        <v>3.7234999763313681E-4</v>
      </c>
      <c r="X5" s="10" cm="1">
        <f t="array" ref="X5">IFERROR(MEDIAN(_xlfn._xlws.FILTER(benchmark_results[runtime_s],(benchmark_results[algo]="design_playlist_"&amp;X$4)*(benchmark_results[target_s]=$A5)*(benchmark_results[timed_out]=FALSE))),NA())</f>
        <v>4.4403499996406026E-3</v>
      </c>
      <c r="Y5" s="10" cm="1">
        <f t="array" ref="Y5">IFERROR(MEDIAN(_xlfn._xlws.FILTER(benchmark_results[runtime_s],(benchmark_results[algo]="design_playlist_"&amp;Y$4)*(benchmark_results[target_s]=$A5)*(benchmark_results[timed_out]=FALSE))),NA())</f>
        <v>1.5707999918959104E-3</v>
      </c>
      <c r="Z5" s="10" cm="1">
        <f t="array" ref="Z5">IFERROR(MEDIAN(_xlfn._xlws.FILTER(benchmark_results[runtime_s],(benchmark_results[algo]="design_playlist_"&amp;Z$4)*(benchmark_results[target_s]=$A5)*(benchmark_results[timed_out]=FALSE))),NA())</f>
        <v>9.6885000675683841E-4</v>
      </c>
      <c r="AB5" t="str">
        <f>TEXT($A5,"0")</f>
        <v>300</v>
      </c>
      <c r="AC5">
        <f>COUNTIFS(benchmark_results[algo],"design_playlist_"&amp;AC$4,benchmark_results[target_s],$A5,benchmark_results[timed_out],TRUE)</f>
        <v>20</v>
      </c>
      <c r="AD5">
        <f>COUNTIFS(benchmark_results[algo],"design_playlist_"&amp;AD$4,benchmark_results[target_s],$A5,benchmark_results[timed_out],TRUE)</f>
        <v>10</v>
      </c>
      <c r="AE5">
        <f>COUNTIFS(benchmark_results[algo],"design_playlist_"&amp;AE$4,benchmark_results[target_s],$A5,benchmark_results[timed_out],TRUE)</f>
        <v>0</v>
      </c>
      <c r="AF5">
        <f>COUNTIFS(benchmark_results[algo],"design_playlist_"&amp;AF$4,benchmark_results[target_s],$A5,benchmark_results[timed_out],TRUE)</f>
        <v>0</v>
      </c>
    </row>
    <row r="6" spans="1:32" x14ac:dyDescent="0.3">
      <c r="A6">
        <v>600</v>
      </c>
      <c r="B6" s="10" cm="1">
        <f t="array" ref="B6">IFERROR(MEDIAN(_xlfn._xlws.FILTER(benchmark_results[runtime_s],(benchmark_results[algo]=B$4)*(benchmark_results[target_s]=$A6)*(benchmark_results[timed_out]=FALSE))),"n/a")</f>
        <v>1.3998999929754063E-3</v>
      </c>
      <c r="C6" s="10" cm="1">
        <f t="array" ref="C6">IFERROR(MEDIAN(_xlfn._xlws.FILTER(benchmark_results[runtime_s],(benchmark_results[algo]=C$4)*(benchmark_results[target_s]=$A6)*(benchmark_results[timed_out]=FALSE))),"n/a")</f>
        <v>2.8075800000806339E-2</v>
      </c>
      <c r="D6" s="10" cm="1">
        <f t="array" ref="D6">IFERROR(MEDIAN(_xlfn._xlws.FILTER(benchmark_results[runtime_s],(benchmark_results[algo]=D$4)*(benchmark_results[target_s]=$A6)*(benchmark_results[timed_out]=FALSE))),"n/a")</f>
        <v>7.7805999972042628E-3</v>
      </c>
      <c r="E6" s="10" cm="1">
        <f t="array" ref="E6">IFERROR(MEDIAN(_xlfn._xlws.FILTER(benchmark_results[runtime_s],(benchmark_results[algo]=E$4)*(benchmark_results[target_s]=$A6)*(benchmark_results[timed_out]=FALSE))),"n/a")</f>
        <v>3.5948000077041797E-3</v>
      </c>
      <c r="F6">
        <f>$A6</f>
        <v>600</v>
      </c>
      <c r="G6" s="10">
        <f>IF(COUNTIFS(benchmark_results[algo],G$4,benchmark_results[target_s],$A6,benchmark_results[timed_out],FALSE)=0,"n/a",_xlfn.MAXIFS(benchmark_results[runtime_s],benchmark_results[algo],G$4,benchmark_results[target_s],$A6))</f>
        <v>1.1334200011333451E-2</v>
      </c>
      <c r="H6" s="10">
        <f>IF(COUNTIFS(benchmark_results[algo],H$4,benchmark_results[target_s],$A6,benchmark_results[timed_out],FALSE)=0,"n/a",_xlfn.MAXIFS(benchmark_results[runtime_s],benchmark_results[algo],H$4,benchmark_results[target_s],$A6))</f>
        <v>2.0185900999931619</v>
      </c>
      <c r="I6" s="10">
        <f>IF(COUNTIFS(benchmark_results[algo],I$4,benchmark_results[target_s],$A6,benchmark_results[timed_out],FALSE)=0,"n/a",_xlfn.MAXIFS(benchmark_results[runtime_s],benchmark_results[algo],I$4,benchmark_results[target_s],$A6))</f>
        <v>0.17662870000640396</v>
      </c>
      <c r="J6" s="10">
        <f>IF(COUNTIFS(benchmark_results[algo],J$4,benchmark_results[target_s],$A6,benchmark_results[timed_out],FALSE)=0,"n/a",_xlfn.MAXIFS(benchmark_results[runtime_s],benchmark_results[algo],J$4,benchmark_results[target_s],$A6))</f>
        <v>7.9176600003847852E-2</v>
      </c>
      <c r="K6">
        <f>$A6</f>
        <v>600</v>
      </c>
      <c r="L6">
        <f>COUNTIFS(benchmark_results[algo],L$4,benchmark_results[target_s],$A6,benchmark_results[timed_out],TRUE)</f>
        <v>11</v>
      </c>
      <c r="M6">
        <f>COUNTIFS(benchmark_results[algo],M$4,benchmark_results[target_s],$A6,benchmark_results[timed_out],TRUE)</f>
        <v>15</v>
      </c>
      <c r="N6">
        <f>COUNTIFS(benchmark_results[algo],N$4,benchmark_results[target_s],$A6,benchmark_results[timed_out],TRUE)</f>
        <v>0</v>
      </c>
      <c r="O6">
        <f>COUNTIFS(benchmark_results[algo],O$4,benchmark_results[target_s],$A6,benchmark_results[timed_out],TRUE)</f>
        <v>0</v>
      </c>
      <c r="P6">
        <f>$A6</f>
        <v>600</v>
      </c>
      <c r="Q6" s="12">
        <f>IFERROR(AVERAGEIFS(benchmark_results[gap_s],benchmark_results[algo],Q$4,benchmark_results[target_s],$A6,benchmark_results[timed_out],FALSE),"n/a")</f>
        <v>0</v>
      </c>
      <c r="R6" s="12">
        <f>IFERROR(AVERAGEIFS(benchmark_results[gap_s],benchmark_results[algo],R$4,benchmark_results[target_s],$A6,benchmark_results[timed_out],FALSE),"n/a")</f>
        <v>0.8666666666666667</v>
      </c>
      <c r="S6" s="12">
        <f>IFERROR(AVERAGEIFS(benchmark_results[gap_s],benchmark_results[algo],S$4,benchmark_results[target_s],$A6,benchmark_results[timed_out],FALSE),"n/a")</f>
        <v>0.4</v>
      </c>
      <c r="T6" s="12">
        <f>IFERROR(AVERAGEIFS(benchmark_results[gap_s],benchmark_results[algo],T$4,benchmark_results[target_s],$A6,benchmark_results[timed_out],FALSE),"n/a")</f>
        <v>0.4</v>
      </c>
      <c r="V6" t="str">
        <f>TEXT($A6,"0")</f>
        <v>600</v>
      </c>
      <c r="W6" s="10" cm="1">
        <f t="array" ref="W6">IFERROR(MEDIAN(_xlfn._xlws.FILTER(benchmark_results[runtime_s],(benchmark_results[algo]="design_playlist_"&amp;W$4)*(benchmark_results[target_s]=$A6)*(benchmark_results[timed_out]=FALSE))),NA())</f>
        <v>1.3998999929754063E-3</v>
      </c>
      <c r="X6" s="10" cm="1">
        <f t="array" ref="X6">IFERROR(MEDIAN(_xlfn._xlws.FILTER(benchmark_results[runtime_s],(benchmark_results[algo]="design_playlist_"&amp;X$4)*(benchmark_results[target_s]=$A6)*(benchmark_results[timed_out]=FALSE))),NA())</f>
        <v>2.8075800000806339E-2</v>
      </c>
      <c r="Y6" s="10" cm="1">
        <f t="array" ref="Y6">IFERROR(MEDIAN(_xlfn._xlws.FILTER(benchmark_results[runtime_s],(benchmark_results[algo]="design_playlist_"&amp;Y$4)*(benchmark_results[target_s]=$A6)*(benchmark_results[timed_out]=FALSE))),NA())</f>
        <v>7.7805999972042628E-3</v>
      </c>
      <c r="Z6" s="10" cm="1">
        <f t="array" ref="Z6">IFERROR(MEDIAN(_xlfn._xlws.FILTER(benchmark_results[runtime_s],(benchmark_results[algo]="design_playlist_"&amp;Z$4)*(benchmark_results[target_s]=$A6)*(benchmark_results[timed_out]=FALSE))),NA())</f>
        <v>3.5948000077041797E-3</v>
      </c>
      <c r="AB6" t="str">
        <f>TEXT($A6,"0")</f>
        <v>600</v>
      </c>
      <c r="AC6">
        <f>COUNTIFS(benchmark_results[algo],"design_playlist_"&amp;AC$4,benchmark_results[target_s],$A6,benchmark_results[timed_out],TRUE)</f>
        <v>11</v>
      </c>
      <c r="AD6">
        <f>COUNTIFS(benchmark_results[algo],"design_playlist_"&amp;AD$4,benchmark_results[target_s],$A6,benchmark_results[timed_out],TRUE)</f>
        <v>15</v>
      </c>
      <c r="AE6">
        <f>COUNTIFS(benchmark_results[algo],"design_playlist_"&amp;AE$4,benchmark_results[target_s],$A6,benchmark_results[timed_out],TRUE)</f>
        <v>0</v>
      </c>
      <c r="AF6">
        <f>COUNTIFS(benchmark_results[algo],"design_playlist_"&amp;AF$4,benchmark_results[target_s],$A6,benchmark_results[timed_out],TRUE)</f>
        <v>0</v>
      </c>
    </row>
    <row r="7" spans="1:32" x14ac:dyDescent="0.3">
      <c r="A7">
        <v>1200</v>
      </c>
      <c r="B7" s="10" cm="1">
        <f t="array" ref="B7">IFERROR(MEDIAN(_xlfn._xlws.FILTER(benchmark_results[runtime_s],(benchmark_results[algo]=B$4)*(benchmark_results[target_s]=$A7)*(benchmark_results[timed_out]=FALSE))),"n/a")</f>
        <v>8.9999999909196049E-4</v>
      </c>
      <c r="C7" s="10" cm="1">
        <f t="array" ref="C7">IFERROR(MEDIAN(_xlfn._xlws.FILTER(benchmark_results[runtime_s],(benchmark_results[algo]=C$4)*(benchmark_results[target_s]=$A7)*(benchmark_results[timed_out]=FALSE))),"n/a")</f>
        <v>0.43352764999144711</v>
      </c>
      <c r="D7" s="10" cm="1">
        <f t="array" ref="D7">IFERROR(MEDIAN(_xlfn._xlws.FILTER(benchmark_results[runtime_s],(benchmark_results[algo]=D$4)*(benchmark_results[target_s]=$A7)*(benchmark_results[timed_out]=FALSE))),"n/a")</f>
        <v>3.2857850004802458E-2</v>
      </c>
      <c r="E7" s="10" cm="1">
        <f t="array" ref="E7">IFERROR(MEDIAN(_xlfn._xlws.FILTER(benchmark_results[runtime_s],(benchmark_results[algo]=E$4)*(benchmark_results[target_s]=$A7)*(benchmark_results[timed_out]=FALSE))),"n/a")</f>
        <v>9.4449500029440969E-3</v>
      </c>
      <c r="F7">
        <f>$A7</f>
        <v>1200</v>
      </c>
      <c r="G7" s="10">
        <f>IF(COUNTIFS(benchmark_results[algo],G$4,benchmark_results[target_s],$A7,benchmark_results[timed_out],FALSE)=0,"n/a",_xlfn.MAXIFS(benchmark_results[runtime_s],benchmark_results[algo],G$4,benchmark_results[target_s],$A7))</f>
        <v>4.2511999927228317E-3</v>
      </c>
      <c r="H7" s="10">
        <f>IF(COUNTIFS(benchmark_results[algo],H$4,benchmark_results[target_s],$A7,benchmark_results[timed_out],FALSE)=0,"n/a",_xlfn.MAXIFS(benchmark_results[runtime_s],benchmark_results[algo],H$4,benchmark_results[target_s],$A7))</f>
        <v>7.0573738999955822</v>
      </c>
      <c r="I7" s="10">
        <f>IF(COUNTIFS(benchmark_results[algo],I$4,benchmark_results[target_s],$A7,benchmark_results[timed_out],FALSE)=0,"n/a",_xlfn.MAXIFS(benchmark_results[runtime_s],benchmark_results[algo],I$4,benchmark_results[target_s],$A7))</f>
        <v>0.23392520000925288</v>
      </c>
      <c r="J7" s="10">
        <f>IF(COUNTIFS(benchmark_results[algo],J$4,benchmark_results[target_s],$A7,benchmark_results[timed_out],FALSE)=0,"n/a",_xlfn.MAXIFS(benchmark_results[runtime_s],benchmark_results[algo],J$4,benchmark_results[target_s],$A7))</f>
        <v>7.1116699997219257E-2</v>
      </c>
      <c r="K7">
        <f>$A7</f>
        <v>1200</v>
      </c>
      <c r="L7">
        <f>COUNTIFS(benchmark_results[algo],L$4,benchmark_results[target_s],$A7,benchmark_results[timed_out],TRUE)</f>
        <v>5</v>
      </c>
      <c r="M7">
        <f>COUNTIFS(benchmark_results[algo],M$4,benchmark_results[target_s],$A7,benchmark_results[timed_out],TRUE)</f>
        <v>20</v>
      </c>
      <c r="N7">
        <f>COUNTIFS(benchmark_results[algo],N$4,benchmark_results[target_s],$A7,benchmark_results[timed_out],TRUE)</f>
        <v>0</v>
      </c>
      <c r="O7">
        <f>COUNTIFS(benchmark_results[algo],O$4,benchmark_results[target_s],$A7,benchmark_results[timed_out],TRUE)</f>
        <v>0</v>
      </c>
      <c r="P7">
        <f>$A7</f>
        <v>1200</v>
      </c>
      <c r="Q7" s="12">
        <f>IFERROR(AVERAGEIFS(benchmark_results[gap_s],benchmark_results[algo],Q$4,benchmark_results[target_s],$A7,benchmark_results[timed_out],FALSE),"n/a")</f>
        <v>0</v>
      </c>
      <c r="R7" s="12">
        <f>IFERROR(AVERAGEIFS(benchmark_results[gap_s],benchmark_results[algo],R$4,benchmark_results[target_s],$A7,benchmark_results[timed_out],FALSE),"n/a")</f>
        <v>0.2</v>
      </c>
      <c r="S7" s="12">
        <f>IFERROR(AVERAGEIFS(benchmark_results[gap_s],benchmark_results[algo],S$4,benchmark_results[target_s],$A7,benchmark_results[timed_out],FALSE),"n/a")</f>
        <v>0.13333333333333333</v>
      </c>
      <c r="T7" s="12">
        <f>IFERROR(AVERAGEIFS(benchmark_results[gap_s],benchmark_results[algo],T$4,benchmark_results[target_s],$A7,benchmark_results[timed_out],FALSE),"n/a")</f>
        <v>0.1</v>
      </c>
      <c r="V7" t="str">
        <f>TEXT($A7,"0")</f>
        <v>1200</v>
      </c>
      <c r="W7" s="10" cm="1">
        <f t="array" ref="W7">IFERROR(MEDIAN(_xlfn._xlws.FILTER(benchmark_results[runtime_s],(benchmark_results[algo]="design_playlist_"&amp;W$4)*(benchmark_results[target_s]=$A7)*(benchmark_results[timed_out]=FALSE))),NA())</f>
        <v>8.9999999909196049E-4</v>
      </c>
      <c r="X7" s="10" cm="1">
        <f t="array" ref="X7">IFERROR(MEDIAN(_xlfn._xlws.FILTER(benchmark_results[runtime_s],(benchmark_results[algo]="design_playlist_"&amp;X$4)*(benchmark_results[target_s]=$A7)*(benchmark_results[timed_out]=FALSE))),NA())</f>
        <v>0.43352764999144711</v>
      </c>
      <c r="Y7" s="10" cm="1">
        <f t="array" ref="Y7">IFERROR(MEDIAN(_xlfn._xlws.FILTER(benchmark_results[runtime_s],(benchmark_results[algo]="design_playlist_"&amp;Y$4)*(benchmark_results[target_s]=$A7)*(benchmark_results[timed_out]=FALSE))),NA())</f>
        <v>3.2857850004802458E-2</v>
      </c>
      <c r="Z7" s="10" cm="1">
        <f t="array" ref="Z7">IFERROR(MEDIAN(_xlfn._xlws.FILTER(benchmark_results[runtime_s],(benchmark_results[algo]="design_playlist_"&amp;Z$4)*(benchmark_results[target_s]=$A7)*(benchmark_results[timed_out]=FALSE))),NA())</f>
        <v>9.4449500029440969E-3</v>
      </c>
      <c r="AB7" t="str">
        <f>TEXT($A7,"0")</f>
        <v>1200</v>
      </c>
      <c r="AC7">
        <f>COUNTIFS(benchmark_results[algo],"design_playlist_"&amp;AC$4,benchmark_results[target_s],$A7,benchmark_results[timed_out],TRUE)</f>
        <v>5</v>
      </c>
      <c r="AD7">
        <f>COUNTIFS(benchmark_results[algo],"design_playlist_"&amp;AD$4,benchmark_results[target_s],$A7,benchmark_results[timed_out],TRUE)</f>
        <v>20</v>
      </c>
      <c r="AE7">
        <f>COUNTIFS(benchmark_results[algo],"design_playlist_"&amp;AE$4,benchmark_results[target_s],$A7,benchmark_results[timed_out],TRUE)</f>
        <v>0</v>
      </c>
      <c r="AF7">
        <f>COUNTIFS(benchmark_results[algo],"design_playlist_"&amp;AF$4,benchmark_results[target_s],$A7,benchmark_results[timed_out],TRUE)</f>
        <v>0</v>
      </c>
    </row>
    <row r="8" spans="1:32" x14ac:dyDescent="0.3">
      <c r="A8">
        <v>3600</v>
      </c>
      <c r="B8" s="10" cm="1">
        <f t="array" ref="B8">IFERROR(MEDIAN(_xlfn._xlws.FILTER(benchmark_results[runtime_s],(benchmark_results[algo]=B$4)*(benchmark_results[target_s]=$A8)*(benchmark_results[timed_out]=FALSE))),"n/a")</f>
        <v>1.656500026001595E-4</v>
      </c>
      <c r="C8" s="10" cm="1">
        <f t="array" ref="C8">IFERROR(MEDIAN(_xlfn._xlws.FILTER(benchmark_results[runtime_s],(benchmark_results[algo]=C$4)*(benchmark_results[target_s]=$A8)*(benchmark_results[timed_out]=FALSE))),"n/a")</f>
        <v>6.0720001056324691E-4</v>
      </c>
      <c r="D8" s="10" cm="1">
        <f t="array" ref="D8">IFERROR(MEDIAN(_xlfn._xlws.FILTER(benchmark_results[runtime_s],(benchmark_results[algo]=D$4)*(benchmark_results[target_s]=$A8)*(benchmark_results[timed_out]=FALSE))),"n/a")</f>
        <v>0.12893554999754997</v>
      </c>
      <c r="E8" s="10" cm="1">
        <f t="array" ref="E8">IFERROR(MEDIAN(_xlfn._xlws.FILTER(benchmark_results[runtime_s],(benchmark_results[algo]=E$4)*(benchmark_results[target_s]=$A8)*(benchmark_results[timed_out]=FALSE))),"n/a")</f>
        <v>4.6042050002142787E-2</v>
      </c>
      <c r="F8">
        <f>$A8</f>
        <v>3600</v>
      </c>
      <c r="G8" s="10">
        <f>IF(COUNTIFS(benchmark_results[algo],G$4,benchmark_results[target_s],$A8,benchmark_results[timed_out],FALSE)=0,"n/a",_xlfn.MAXIFS(benchmark_results[runtime_s],benchmark_results[algo],G$4,benchmark_results[target_s],$A8))</f>
        <v>1.181399988126941E-3</v>
      </c>
      <c r="H8" s="10">
        <f>IF(COUNTIFS(benchmark_results[algo],H$4,benchmark_results[target_s],$A8,benchmark_results[timed_out],FALSE)=0,"n/a",_xlfn.MAXIFS(benchmark_results[runtime_s],benchmark_results[algo],H$4,benchmark_results[target_s],$A8))</f>
        <v>6.2180000531952828E-4</v>
      </c>
      <c r="I8" s="10">
        <f>IF(COUNTIFS(benchmark_results[algo],I$4,benchmark_results[target_s],$A8,benchmark_results[timed_out],FALSE)=0,"n/a",_xlfn.MAXIFS(benchmark_results[runtime_s],benchmark_results[algo],I$4,benchmark_results[target_s],$A8))</f>
        <v>1.1434004999900935</v>
      </c>
      <c r="J8" s="10">
        <f>IF(COUNTIFS(benchmark_results[algo],J$4,benchmark_results[target_s],$A8,benchmark_results[timed_out],FALSE)=0,"n/a",_xlfn.MAXIFS(benchmark_results[runtime_s],benchmark_results[algo],J$4,benchmark_results[target_s],$A8))</f>
        <v>0.37176189999445342</v>
      </c>
      <c r="K8">
        <f>$A8</f>
        <v>3600</v>
      </c>
      <c r="L8">
        <f>COUNTIFS(benchmark_results[algo],L$4,benchmark_results[target_s],$A8,benchmark_results[timed_out],TRUE)</f>
        <v>0</v>
      </c>
      <c r="M8">
        <f>COUNTIFS(benchmark_results[algo],M$4,benchmark_results[target_s],$A8,benchmark_results[timed_out],TRUE)</f>
        <v>25</v>
      </c>
      <c r="N8">
        <f>COUNTIFS(benchmark_results[algo],N$4,benchmark_results[target_s],$A8,benchmark_results[timed_out],TRUE)</f>
        <v>0</v>
      </c>
      <c r="O8">
        <f>COUNTIFS(benchmark_results[algo],O$4,benchmark_results[target_s],$A8,benchmark_results[timed_out],TRUE)</f>
        <v>0</v>
      </c>
      <c r="P8">
        <f>$A8</f>
        <v>3600</v>
      </c>
      <c r="Q8" s="12">
        <f>IFERROR(AVERAGEIFS(benchmark_results[gap_s],benchmark_results[algo],Q$4,benchmark_results[target_s],$A8,benchmark_results[timed_out],FALSE),"n/a")</f>
        <v>101.93333333333334</v>
      </c>
      <c r="R8" s="12">
        <f>IFERROR(AVERAGEIFS(benchmark_results[gap_s],benchmark_results[algo],R$4,benchmark_results[target_s],$A8,benchmark_results[timed_out],FALSE),"n/a")</f>
        <v>611.6</v>
      </c>
      <c r="S8" s="12">
        <f>IFERROR(AVERAGEIFS(benchmark_results[gap_s],benchmark_results[algo],S$4,benchmark_results[target_s],$A8,benchmark_results[timed_out],FALSE),"n/a")</f>
        <v>105.8</v>
      </c>
      <c r="T8" s="12">
        <f>IFERROR(AVERAGEIFS(benchmark_results[gap_s],benchmark_results[algo],T$4,benchmark_results[target_s],$A8,benchmark_results[timed_out],FALSE),"n/a")</f>
        <v>102.03333333333333</v>
      </c>
      <c r="V8" t="str">
        <f>TEXT($A8,"0")</f>
        <v>3600</v>
      </c>
      <c r="W8" s="10" cm="1">
        <f t="array" ref="W8">IFERROR(MEDIAN(_xlfn._xlws.FILTER(benchmark_results[runtime_s],(benchmark_results[algo]="design_playlist_"&amp;W$4)*(benchmark_results[target_s]=$A8)*(benchmark_results[timed_out]=FALSE))),NA())</f>
        <v>1.656500026001595E-4</v>
      </c>
      <c r="X8" s="10" cm="1">
        <f t="array" ref="X8">IFERROR(MEDIAN(_xlfn._xlws.FILTER(benchmark_results[runtime_s],(benchmark_results[algo]="design_playlist_"&amp;X$4)*(benchmark_results[target_s]=$A8)*(benchmark_results[timed_out]=FALSE))),NA())</f>
        <v>6.0720001056324691E-4</v>
      </c>
      <c r="Y8" s="10" cm="1">
        <f t="array" ref="Y8">IFERROR(MEDIAN(_xlfn._xlws.FILTER(benchmark_results[runtime_s],(benchmark_results[algo]="design_playlist_"&amp;Y$4)*(benchmark_results[target_s]=$A8)*(benchmark_results[timed_out]=FALSE))),NA())</f>
        <v>0.12893554999754997</v>
      </c>
      <c r="Z8" s="10" cm="1">
        <f t="array" ref="Z8">IFERROR(MEDIAN(_xlfn._xlws.FILTER(benchmark_results[runtime_s],(benchmark_results[algo]="design_playlist_"&amp;Z$4)*(benchmark_results[target_s]=$A8)*(benchmark_results[timed_out]=FALSE))),NA())</f>
        <v>4.6042050002142787E-2</v>
      </c>
      <c r="AB8" t="str">
        <f>TEXT($A8,"0")</f>
        <v>3600</v>
      </c>
      <c r="AC8">
        <f>COUNTIFS(benchmark_results[algo],"design_playlist_"&amp;AC$4,benchmark_results[target_s],$A8,benchmark_results[timed_out],TRUE)</f>
        <v>0</v>
      </c>
      <c r="AD8">
        <f>COUNTIFS(benchmark_results[algo],"design_playlist_"&amp;AD$4,benchmark_results[target_s],$A8,benchmark_results[timed_out],TRUE)</f>
        <v>25</v>
      </c>
      <c r="AE8">
        <f>COUNTIFS(benchmark_results[algo],"design_playlist_"&amp;AE$4,benchmark_results[target_s],$A8,benchmark_results[timed_out],TRUE)</f>
        <v>0</v>
      </c>
      <c r="AF8">
        <f>COUNTIFS(benchmark_results[algo],"design_playlist_"&amp;AF$4,benchmark_results[target_s],$A8,benchmark_results[timed_out],TRUE)</f>
        <v>0</v>
      </c>
    </row>
    <row r="9" spans="1:32" x14ac:dyDescent="0.3">
      <c r="A9">
        <v>7200</v>
      </c>
      <c r="B9" s="10" cm="1">
        <f t="array" ref="B9">IFERROR(MEDIAN(_xlfn._xlws.FILTER(benchmark_results[runtime_s],(benchmark_results[algo]=B$4)*(benchmark_results[target_s]=$A9)*(benchmark_results[timed_out]=FALSE))),"n/a")</f>
        <v>3.8630000199191272E-4</v>
      </c>
      <c r="C9" s="10" cm="1">
        <f t="array" ref="C9">IFERROR(MEDIAN(_xlfn._xlws.FILTER(benchmark_results[runtime_s],(benchmark_results[algo]=C$4)*(benchmark_results[target_s]=$A9)*(benchmark_results[timed_out]=FALSE))),"n/a")</f>
        <v>5.5389999761246145E-4</v>
      </c>
      <c r="D9" s="10" cm="1">
        <f t="array" ref="D9">IFERROR(MEDIAN(_xlfn._xlws.FILTER(benchmark_results[runtime_s],(benchmark_results[algo]=D$4)*(benchmark_results[target_s]=$A9)*(benchmark_results[timed_out]=FALSE))),"n/a")</f>
        <v>0.32679480000660988</v>
      </c>
      <c r="E9" s="10" cm="1">
        <f t="array" ref="E9">IFERROR(MEDIAN(_xlfn._xlws.FILTER(benchmark_results[runtime_s],(benchmark_results[algo]=E$4)*(benchmark_results[target_s]=$A9)*(benchmark_results[timed_out]=FALSE))),"n/a")</f>
        <v>0.11719620000076247</v>
      </c>
      <c r="F9">
        <f>$A9</f>
        <v>7200</v>
      </c>
      <c r="G9" s="10">
        <f>IF(COUNTIFS(benchmark_results[algo],G$4,benchmark_results[target_s],$A9,benchmark_results[timed_out],FALSE)=0,"n/a",_xlfn.MAXIFS(benchmark_results[runtime_s],benchmark_results[algo],G$4,benchmark_results[target_s],$A9))</f>
        <v>1.6392000106861815E-3</v>
      </c>
      <c r="H9" s="10">
        <f>IF(COUNTIFS(benchmark_results[algo],H$4,benchmark_results[target_s],$A9,benchmark_results[timed_out],FALSE)=0,"n/a",_xlfn.MAXIFS(benchmark_results[runtime_s],benchmark_results[algo],H$4,benchmark_results[target_s],$A9))</f>
        <v>5.8039999566972256E-4</v>
      </c>
      <c r="I9" s="10">
        <f>IF(COUNTIFS(benchmark_results[algo],I$4,benchmark_results[target_s],$A9,benchmark_results[timed_out],FALSE)=0,"n/a",_xlfn.MAXIFS(benchmark_results[runtime_s],benchmark_results[algo],I$4,benchmark_results[target_s],$A9))</f>
        <v>4.1035292000015033</v>
      </c>
      <c r="J9" s="10">
        <f>IF(COUNTIFS(benchmark_results[algo],J$4,benchmark_results[target_s],$A9,benchmark_results[timed_out],FALSE)=0,"n/a",_xlfn.MAXIFS(benchmark_results[runtime_s],benchmark_results[algo],J$4,benchmark_results[target_s],$A9))</f>
        <v>1.490365000005113</v>
      </c>
      <c r="K9">
        <f>$A9</f>
        <v>7200</v>
      </c>
      <c r="L9">
        <f>COUNTIFS(benchmark_results[algo],L$4,benchmark_results[target_s],$A9,benchmark_results[timed_out],TRUE)</f>
        <v>3</v>
      </c>
      <c r="M9">
        <f>COUNTIFS(benchmark_results[algo],M$4,benchmark_results[target_s],$A9,benchmark_results[timed_out],TRUE)</f>
        <v>25</v>
      </c>
      <c r="N9">
        <f>COUNTIFS(benchmark_results[algo],N$4,benchmark_results[target_s],$A9,benchmark_results[timed_out],TRUE)</f>
        <v>0</v>
      </c>
      <c r="O9">
        <f>COUNTIFS(benchmark_results[algo],O$4,benchmark_results[target_s],$A9,benchmark_results[timed_out],TRUE)</f>
        <v>0</v>
      </c>
      <c r="P9">
        <f>$A9</f>
        <v>7200</v>
      </c>
      <c r="Q9" s="12">
        <f>IFERROR(AVERAGEIFS(benchmark_results[gap_s],benchmark_results[algo],Q$4,benchmark_results[target_s],$A9,benchmark_results[timed_out],FALSE),"n/a")</f>
        <v>904.92592592592598</v>
      </c>
      <c r="R9" s="12">
        <f>IFERROR(AVERAGEIFS(benchmark_results[gap_s],benchmark_results[algo],R$4,benchmark_results[target_s],$A9,benchmark_results[timed_out],FALSE),"n/a")</f>
        <v>4886.6000000000004</v>
      </c>
      <c r="S9" s="12">
        <f>IFERROR(AVERAGEIFS(benchmark_results[gap_s],benchmark_results[algo],S$4,benchmark_results[target_s],$A9,benchmark_results[timed_out],FALSE),"n/a")</f>
        <v>827.3</v>
      </c>
      <c r="T9" s="12">
        <f>IFERROR(AVERAGEIFS(benchmark_results[gap_s],benchmark_results[algo],T$4,benchmark_results[target_s],$A9,benchmark_results[timed_out],FALSE),"n/a")</f>
        <v>814.43333333333328</v>
      </c>
      <c r="V9" t="str">
        <f>TEXT($A9,"0")</f>
        <v>7200</v>
      </c>
      <c r="W9" s="10" cm="1">
        <f t="array" ref="W9">IFERROR(MEDIAN(_xlfn._xlws.FILTER(benchmark_results[runtime_s],(benchmark_results[algo]="design_playlist_"&amp;W$4)*(benchmark_results[target_s]=$A9)*(benchmark_results[timed_out]=FALSE))),NA())</f>
        <v>3.8630000199191272E-4</v>
      </c>
      <c r="X9" s="10" cm="1">
        <f t="array" ref="X9">IFERROR(MEDIAN(_xlfn._xlws.FILTER(benchmark_results[runtime_s],(benchmark_results[algo]="design_playlist_"&amp;X$4)*(benchmark_results[target_s]=$A9)*(benchmark_results[timed_out]=FALSE))),NA())</f>
        <v>5.5389999761246145E-4</v>
      </c>
      <c r="Y9" s="10" cm="1">
        <f t="array" ref="Y9">IFERROR(MEDIAN(_xlfn._xlws.FILTER(benchmark_results[runtime_s],(benchmark_results[algo]="design_playlist_"&amp;Y$4)*(benchmark_results[target_s]=$A9)*(benchmark_results[timed_out]=FALSE))),NA())</f>
        <v>0.32679480000660988</v>
      </c>
      <c r="Z9" s="10" cm="1">
        <f t="array" ref="Z9">IFERROR(MEDIAN(_xlfn._xlws.FILTER(benchmark_results[runtime_s],(benchmark_results[algo]="design_playlist_"&amp;Z$4)*(benchmark_results[target_s]=$A9)*(benchmark_results[timed_out]=FALSE))),NA())</f>
        <v>0.11719620000076247</v>
      </c>
      <c r="AB9" t="str">
        <f>TEXT($A9,"0")</f>
        <v>7200</v>
      </c>
      <c r="AC9">
        <f>COUNTIFS(benchmark_results[algo],"design_playlist_"&amp;AC$4,benchmark_results[target_s],$A9,benchmark_results[timed_out],TRUE)</f>
        <v>3</v>
      </c>
      <c r="AD9">
        <f>COUNTIFS(benchmark_results[algo],"design_playlist_"&amp;AD$4,benchmark_results[target_s],$A9,benchmark_results[timed_out],TRUE)</f>
        <v>25</v>
      </c>
      <c r="AE9">
        <f>COUNTIFS(benchmark_results[algo],"design_playlist_"&amp;AE$4,benchmark_results[target_s],$A9,benchmark_results[timed_out],TRUE)</f>
        <v>0</v>
      </c>
      <c r="AF9">
        <f>COUNTIFS(benchmark_results[algo],"design_playlist_"&amp;AF$4,benchmark_results[target_s],$A9,benchmark_results[timed_out],TRUE)</f>
        <v>0</v>
      </c>
    </row>
    <row r="11" spans="1:32" x14ac:dyDescent="0.3">
      <c r="A11" s="3" t="s">
        <v>97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29B35-EF51-4A50-B5B0-F4D0E31B044F}">
  <dimension ref="A1:S180"/>
  <sheetViews>
    <sheetView workbookViewId="0"/>
  </sheetViews>
  <sheetFormatPr defaultRowHeight="14.4" x14ac:dyDescent="0.3"/>
  <cols>
    <col min="1" max="1" width="50" customWidth="1"/>
    <col min="2" max="12" width="18.5546875" customWidth="1"/>
    <col min="13" max="13" width="24.109375" customWidth="1"/>
    <col min="14" max="19" width="16.6640625" customWidth="1"/>
  </cols>
  <sheetData>
    <row r="1" spans="1:19" ht="18" x14ac:dyDescent="0.35">
      <c r="A1" s="9" t="s">
        <v>51</v>
      </c>
    </row>
    <row r="2" spans="1:19" x14ac:dyDescent="0.3">
      <c r="A2" s="3" t="s">
        <v>52</v>
      </c>
    </row>
    <row r="4" spans="1:19" x14ac:dyDescent="0.3">
      <c r="A4" s="7" t="s">
        <v>57</v>
      </c>
      <c r="M4" s="7" t="s">
        <v>76</v>
      </c>
    </row>
    <row r="5" spans="1:19" x14ac:dyDescent="0.3">
      <c r="A5" t="s">
        <v>58</v>
      </c>
      <c r="B5">
        <f>COUNTIF($H$31:$H$180,"&gt;1")</f>
        <v>144</v>
      </c>
      <c r="M5" s="6" t="s">
        <v>77</v>
      </c>
      <c r="N5" s="17">
        <v>0</v>
      </c>
      <c r="O5" s="17">
        <v>1</v>
      </c>
      <c r="P5" s="17">
        <v>2</v>
      </c>
      <c r="Q5" s="17">
        <v>3</v>
      </c>
      <c r="R5" s="17">
        <v>4</v>
      </c>
      <c r="S5" s="17" t="s">
        <v>78</v>
      </c>
    </row>
    <row r="6" spans="1:19" x14ac:dyDescent="0.3">
      <c r="A6" t="s">
        <v>59</v>
      </c>
      <c r="B6">
        <f>COUNTIF($H$31:$H$180,"&lt;1")</f>
        <v>5</v>
      </c>
      <c r="M6" t="s">
        <v>7</v>
      </c>
      <c r="N6" s="10" cm="1">
        <f t="array" ref="N6">IFERROR(MEDIAN(_xlfn._xlws.FILTER(benchmark_results[runtime_s],(benchmark_results[algo]=$M6)*(benchmark_results[round]=N$5)*(benchmark_results[timed_out]=FALSE))),"n/a")</f>
        <v>5.7469999592285603E-4</v>
      </c>
      <c r="O6" s="10" cm="1">
        <f t="array" ref="O6">IFERROR(MEDIAN(_xlfn._xlws.FILTER(benchmark_results[runtime_s],(benchmark_results[algo]=$M6)*(benchmark_results[round]=O$5)*(benchmark_results[timed_out]=FALSE))),"n/a")</f>
        <v>3.8745000347262248E-4</v>
      </c>
      <c r="P6" s="10" cm="1">
        <f t="array" ref="P6">IFERROR(MEDIAN(_xlfn._xlws.FILTER(benchmark_results[runtime_s],(benchmark_results[algo]=$M6)*(benchmark_results[round]=P$5)*(benchmark_results[timed_out]=FALSE))),"n/a")</f>
        <v>4.2579999717418104E-4</v>
      </c>
      <c r="Q6" s="10" cm="1">
        <f t="array" ref="Q6">IFERROR(MEDIAN(_xlfn._xlws.FILTER(benchmark_results[runtime_s],(benchmark_results[algo]=$M6)*(benchmark_results[round]=Q$5)*(benchmark_results[timed_out]=FALSE))),"n/a")</f>
        <v>5.1860000530723482E-4</v>
      </c>
      <c r="R6" s="10" cm="1">
        <f t="array" ref="R6">IFERROR(MEDIAN(_xlfn._xlws.FILTER(benchmark_results[runtime_s],(benchmark_results[algo]=$M6)*(benchmark_results[round]=R$5)*(benchmark_results[timed_out]=FALSE))),"n/a")</f>
        <v>3.1630000012228265E-4</v>
      </c>
      <c r="S6" s="8">
        <f>IFERROR(_xlfn.STDEV.S(N6:R6)/AVERAGE(N6:R6),"n/a")</f>
        <v>0.23181133416111999</v>
      </c>
    </row>
    <row r="7" spans="1:19" x14ac:dyDescent="0.3">
      <c r="A7" t="s">
        <v>60</v>
      </c>
      <c r="B7">
        <f>COUNTIF($H$31:$H$180,"&gt;=2")</f>
        <v>96</v>
      </c>
      <c r="M7" t="s">
        <v>8</v>
      </c>
      <c r="N7" s="10" cm="1">
        <f t="array" ref="N7">IFERROR(MEDIAN(_xlfn._xlws.FILTER(benchmark_results[runtime_s],(benchmark_results[algo]=$M7)*(benchmark_results[round]=N$5)*(benchmark_results[timed_out]=FALSE))),"n/a")</f>
        <v>1.8689999997150153E-3</v>
      </c>
      <c r="O7" s="10" cm="1">
        <f t="array" ref="O7">IFERROR(MEDIAN(_xlfn._xlws.FILTER(benchmark_results[runtime_s],(benchmark_results[algo]=$M7)*(benchmark_results[round]=O$5)*(benchmark_results[timed_out]=FALSE))),"n/a")</f>
        <v>1.8503000028431416E-3</v>
      </c>
      <c r="P7" s="10" cm="1">
        <f t="array" ref="P7">IFERROR(MEDIAN(_xlfn._xlws.FILTER(benchmark_results[runtime_s],(benchmark_results[algo]=$M7)*(benchmark_results[round]=P$5)*(benchmark_results[timed_out]=FALSE))),"n/a")</f>
        <v>2.3185999889392406E-3</v>
      </c>
      <c r="Q7" s="10" cm="1">
        <f t="array" ref="Q7">IFERROR(MEDIAN(_xlfn._xlws.FILTER(benchmark_results[runtime_s],(benchmark_results[algo]=$M7)*(benchmark_results[round]=Q$5)*(benchmark_results[timed_out]=FALSE))),"n/a")</f>
        <v>2.1755000052507967E-3</v>
      </c>
      <c r="R7" s="10" cm="1">
        <f t="array" ref="R7">IFERROR(MEDIAN(_xlfn._xlws.FILTER(benchmark_results[runtime_s],(benchmark_results[algo]=$M7)*(benchmark_results[round]=R$5)*(benchmark_results[timed_out]=FALSE))),"n/a")</f>
        <v>1.8798999954015017E-3</v>
      </c>
      <c r="S7" s="8">
        <f t="shared" ref="S7:S9" si="0">IFERROR(_xlfn.STDEV.S(N7:R7)/AVERAGE(N7:R7),"n/a")</f>
        <v>0.10640842208478632</v>
      </c>
    </row>
    <row r="8" spans="1:19" x14ac:dyDescent="0.3">
      <c r="A8" t="s">
        <v>61</v>
      </c>
      <c r="B8" s="19">
        <f>MEDIAN($H$31:$H$180)</f>
        <v>2.4221224447129557</v>
      </c>
      <c r="M8" t="s">
        <v>9</v>
      </c>
      <c r="N8" s="10" cm="1">
        <f t="array" ref="N8">IFERROR(MEDIAN(_xlfn._xlws.FILTER(benchmark_results[runtime_s],(benchmark_results[algo]=$M8)*(benchmark_results[round]=N$5)*(benchmark_results[timed_out]=FALSE))),"n/a")</f>
        <v>2.2474700002931058E-2</v>
      </c>
      <c r="O8" s="10" cm="1">
        <f t="array" ref="O8">IFERROR(MEDIAN(_xlfn._xlws.FILTER(benchmark_results[runtime_s],(benchmark_results[algo]=$M8)*(benchmark_results[round]=O$5)*(benchmark_results[timed_out]=FALSE))),"n/a")</f>
        <v>2.4322899997059721E-2</v>
      </c>
      <c r="P8" s="10" cm="1">
        <f t="array" ref="P8">IFERROR(MEDIAN(_xlfn._xlws.FILTER(benchmark_results[runtime_s],(benchmark_results[algo]=$M8)*(benchmark_results[round]=P$5)*(benchmark_results[timed_out]=FALSE))),"n/a")</f>
        <v>2.9546650002885144E-2</v>
      </c>
      <c r="Q8" s="10" cm="1">
        <f t="array" ref="Q8">IFERROR(MEDIAN(_xlfn._xlws.FILTER(benchmark_results[runtime_s],(benchmark_results[algo]=$M8)*(benchmark_results[round]=Q$5)*(benchmark_results[timed_out]=FALSE))),"n/a")</f>
        <v>3.0405149998841807E-2</v>
      </c>
      <c r="R8" s="10" cm="1">
        <f t="array" ref="R8">IFERROR(MEDIAN(_xlfn._xlws.FILTER(benchmark_results[runtime_s],(benchmark_results[algo]=$M8)*(benchmark_results[round]=R$5)*(benchmark_results[timed_out]=FALSE))),"n/a")</f>
        <v>2.2874200003570877E-2</v>
      </c>
      <c r="S8" s="8">
        <f t="shared" si="0"/>
        <v>0.14556826912833645</v>
      </c>
    </row>
    <row r="9" spans="1:19" x14ac:dyDescent="0.3">
      <c r="A9" t="s">
        <v>62</v>
      </c>
      <c r="B9" s="19">
        <f>GEOMEAN($H$31:$H$180)</f>
        <v>2.172131450960284</v>
      </c>
      <c r="M9" t="s">
        <v>10</v>
      </c>
      <c r="N9" s="10" cm="1">
        <f t="array" ref="N9">IFERROR(MEDIAN(_xlfn._xlws.FILTER(benchmark_results[runtime_s],(benchmark_results[algo]=$M9)*(benchmark_results[round]=N$5)*(benchmark_results[timed_out]=FALSE))),"n/a")</f>
        <v>1.1015099997166544E-2</v>
      </c>
      <c r="O9" s="10" cm="1">
        <f t="array" ref="O9">IFERROR(MEDIAN(_xlfn._xlws.FILTER(benchmark_results[runtime_s],(benchmark_results[algo]=$M9)*(benchmark_results[round]=O$5)*(benchmark_results[timed_out]=FALSE))),"n/a")</f>
        <v>1.0814150002261158E-2</v>
      </c>
      <c r="P9" s="10" cm="1">
        <f t="array" ref="P9">IFERROR(MEDIAN(_xlfn._xlws.FILTER(benchmark_results[runtime_s],(benchmark_results[algo]=$M9)*(benchmark_results[round]=P$5)*(benchmark_results[timed_out]=FALSE))),"n/a")</f>
        <v>1.0525800003961194E-2</v>
      </c>
      <c r="Q9" s="10" cm="1">
        <f t="array" ref="Q9">IFERROR(MEDIAN(_xlfn._xlws.FILTER(benchmark_results[runtime_s],(benchmark_results[algo]=$M9)*(benchmark_results[round]=Q$5)*(benchmark_results[timed_out]=FALSE))),"n/a")</f>
        <v>1.1356449998856988E-2</v>
      </c>
      <c r="R9" s="10" cm="1">
        <f t="array" ref="R9">IFERROR(MEDIAN(_xlfn._xlws.FILTER(benchmark_results[runtime_s],(benchmark_results[algo]=$M9)*(benchmark_results[round]=R$5)*(benchmark_results[timed_out]=FALSE))),"n/a")</f>
        <v>1.0410599999886472E-2</v>
      </c>
      <c r="S9" s="8">
        <f t="shared" si="0"/>
        <v>3.5176881144578273E-2</v>
      </c>
    </row>
    <row r="10" spans="1:19" x14ac:dyDescent="0.3">
      <c r="A10" t="s">
        <v>63</v>
      </c>
      <c r="B10" s="19">
        <f>MIN($H$31:$H$180)</f>
        <v>0.8582733749495427</v>
      </c>
      <c r="C10" s="19">
        <f>MAX($H$31:$H$180)</f>
        <v>5.1123209475862117</v>
      </c>
    </row>
    <row r="11" spans="1:19" x14ac:dyDescent="0.3">
      <c r="A11" t="s">
        <v>64</v>
      </c>
      <c r="B11" cm="1">
        <f t="array" ref="B11">SUMPRODUCT((ISNUMBER($D$31:$D$180))*(ISNUMBER($E$31:$E$180))*(ISNUMBER($F$31:$F$180))*(ISNUMBER($G$31:$G$180)))</f>
        <v>22</v>
      </c>
      <c r="M11" s="15" t="s">
        <v>79</v>
      </c>
    </row>
    <row r="12" spans="1:19" x14ac:dyDescent="0.3">
      <c r="M12" s="6" t="s">
        <v>77</v>
      </c>
      <c r="N12" s="17">
        <v>0</v>
      </c>
      <c r="O12" s="17">
        <v>1</v>
      </c>
      <c r="P12" s="17">
        <v>2</v>
      </c>
      <c r="Q12" s="17">
        <v>3</v>
      </c>
      <c r="R12" s="17">
        <v>4</v>
      </c>
      <c r="S12" s="17" t="s">
        <v>80</v>
      </c>
    </row>
    <row r="13" spans="1:19" x14ac:dyDescent="0.3">
      <c r="A13" s="7" t="s">
        <v>65</v>
      </c>
      <c r="M13" t="s">
        <v>7</v>
      </c>
      <c r="N13">
        <f>COUNTIFS(benchmark_results[algo],$M13,benchmark_results[round],N$12,benchmark_results[timed_out],TRUE)</f>
        <v>7</v>
      </c>
      <c r="O13">
        <f>COUNTIFS(benchmark_results[algo],$M13,benchmark_results[round],O$12,benchmark_results[timed_out],TRUE)</f>
        <v>8</v>
      </c>
      <c r="P13">
        <f>COUNTIFS(benchmark_results[algo],$M13,benchmark_results[round],P$12,benchmark_results[timed_out],TRUE)</f>
        <v>9</v>
      </c>
      <c r="Q13">
        <f>COUNTIFS(benchmark_results[algo],$M13,benchmark_results[round],Q$12,benchmark_results[timed_out],TRUE)</f>
        <v>7</v>
      </c>
      <c r="R13">
        <f>COUNTIFS(benchmark_results[algo],$M13,benchmark_results[round],R$12,benchmark_results[timed_out],TRUE)</f>
        <v>8</v>
      </c>
      <c r="S13">
        <f>SUM(N13:R13)</f>
        <v>39</v>
      </c>
    </row>
    <row r="14" spans="1:19" x14ac:dyDescent="0.3">
      <c r="A14" t="s">
        <v>66</v>
      </c>
      <c r="B14">
        <f>COUNTIF($I$31:$I$180,"v1")</f>
        <v>110</v>
      </c>
      <c r="M14" t="s">
        <v>8</v>
      </c>
      <c r="N14">
        <f>COUNTIFS(benchmark_results[algo],$M14,benchmark_results[round],N$12,benchmark_results[timed_out],TRUE)</f>
        <v>19</v>
      </c>
      <c r="O14">
        <f>COUNTIFS(benchmark_results[algo],$M14,benchmark_results[round],O$12,benchmark_results[timed_out],TRUE)</f>
        <v>19</v>
      </c>
      <c r="P14">
        <f>COUNTIFS(benchmark_results[algo],$M14,benchmark_results[round],P$12,benchmark_results[timed_out],TRUE)</f>
        <v>19</v>
      </c>
      <c r="Q14">
        <f>COUNTIFS(benchmark_results[algo],$M14,benchmark_results[round],Q$12,benchmark_results[timed_out],TRUE)</f>
        <v>19</v>
      </c>
      <c r="R14">
        <f>COUNTIFS(benchmark_results[algo],$M14,benchmark_results[round],R$12,benchmark_results[timed_out],TRUE)</f>
        <v>19</v>
      </c>
      <c r="S14">
        <f t="shared" ref="S14:S16" si="1">SUM(N14:R14)</f>
        <v>95</v>
      </c>
    </row>
    <row r="15" spans="1:19" x14ac:dyDescent="0.3">
      <c r="A15" t="s">
        <v>67</v>
      </c>
      <c r="B15">
        <f>COUNTIF($I$31:$I$180,"v2")</f>
        <v>0</v>
      </c>
      <c r="M15" t="s">
        <v>9</v>
      </c>
      <c r="N15">
        <f>COUNTIFS(benchmark_results[algo],$M15,benchmark_results[round],N$12,benchmark_results[timed_out],TRUE)</f>
        <v>0</v>
      </c>
      <c r="O15">
        <f>COUNTIFS(benchmark_results[algo],$M15,benchmark_results[round],O$12,benchmark_results[timed_out],TRUE)</f>
        <v>0</v>
      </c>
      <c r="P15">
        <f>COUNTIFS(benchmark_results[algo],$M15,benchmark_results[round],P$12,benchmark_results[timed_out],TRUE)</f>
        <v>0</v>
      </c>
      <c r="Q15">
        <f>COUNTIFS(benchmark_results[algo],$M15,benchmark_results[round],Q$12,benchmark_results[timed_out],TRUE)</f>
        <v>0</v>
      </c>
      <c r="R15">
        <f>COUNTIFS(benchmark_results[algo],$M15,benchmark_results[round],R$12,benchmark_results[timed_out],TRUE)</f>
        <v>0</v>
      </c>
      <c r="S15">
        <f t="shared" si="1"/>
        <v>0</v>
      </c>
    </row>
    <row r="16" spans="1:19" x14ac:dyDescent="0.3">
      <c r="A16" t="s">
        <v>68</v>
      </c>
      <c r="B16">
        <f>COUNTIF($I$31:$I$180,"v3")</f>
        <v>6</v>
      </c>
      <c r="M16" t="s">
        <v>10</v>
      </c>
      <c r="N16">
        <f>COUNTIFS(benchmark_results[algo],$M16,benchmark_results[round],N$12,benchmark_results[timed_out],TRUE)</f>
        <v>0</v>
      </c>
      <c r="O16">
        <f>COUNTIFS(benchmark_results[algo],$M16,benchmark_results[round],O$12,benchmark_results[timed_out],TRUE)</f>
        <v>0</v>
      </c>
      <c r="P16">
        <f>COUNTIFS(benchmark_results[algo],$M16,benchmark_results[round],P$12,benchmark_results[timed_out],TRUE)</f>
        <v>0</v>
      </c>
      <c r="Q16">
        <f>COUNTIFS(benchmark_results[algo],$M16,benchmark_results[round],Q$12,benchmark_results[timed_out],TRUE)</f>
        <v>0</v>
      </c>
      <c r="R16">
        <f>COUNTIFS(benchmark_results[algo],$M16,benchmark_results[round],R$12,benchmark_results[timed_out],TRUE)</f>
        <v>0</v>
      </c>
      <c r="S16">
        <f t="shared" si="1"/>
        <v>0</v>
      </c>
    </row>
    <row r="17" spans="1:11" x14ac:dyDescent="0.3">
      <c r="A17" t="s">
        <v>69</v>
      </c>
      <c r="B17">
        <f>COUNTIF($I$31:$I$180,"v4")</f>
        <v>34</v>
      </c>
    </row>
    <row r="19" spans="1:11" x14ac:dyDescent="0.3">
      <c r="A19" s="16" t="s">
        <v>70</v>
      </c>
    </row>
    <row r="20" spans="1:11" x14ac:dyDescent="0.3">
      <c r="A20" t="s">
        <v>71</v>
      </c>
      <c r="B20" cm="1">
        <f t="array" ref="B20">SUMPRODUCT(--($J$31:$J$180=$K$31:$K$180))</f>
        <v>142</v>
      </c>
    </row>
    <row r="21" spans="1:11" x14ac:dyDescent="0.3">
      <c r="A21" t="s">
        <v>72</v>
      </c>
      <c r="B21" cm="1">
        <f t="array" ref="B21">SUMPRODUCT(--($J$31:$J$180&gt;$K$31:$K$180))</f>
        <v>8</v>
      </c>
    </row>
    <row r="22" spans="1:11" x14ac:dyDescent="0.3">
      <c r="A22" t="s">
        <v>73</v>
      </c>
      <c r="B22" cm="1">
        <f t="array" ref="B22">SUMPRODUCT(--($K$31:$K$180&gt;$J$31:$J$180))</f>
        <v>0</v>
      </c>
    </row>
    <row r="23" spans="1:11" x14ac:dyDescent="0.3">
      <c r="A23" t="s">
        <v>74</v>
      </c>
      <c r="B23" s="13" cm="1">
        <f t="array" ref="B23">MAX($J$31:$J$180-$K$31:$K$180)</f>
        <v>266</v>
      </c>
    </row>
    <row r="24" spans="1:11" x14ac:dyDescent="0.3">
      <c r="A24" t="s">
        <v>75</v>
      </c>
      <c r="B24" s="13" cm="1">
        <f t="array" ref="B24">MAX($K$31:$K$180-$J$31:$J$180)</f>
        <v>0</v>
      </c>
    </row>
    <row r="30" spans="1:11" x14ac:dyDescent="0.3">
      <c r="A30" s="4" t="s">
        <v>0</v>
      </c>
      <c r="B30" s="4" t="s">
        <v>2</v>
      </c>
      <c r="C30" s="4" t="s">
        <v>3</v>
      </c>
      <c r="D30" s="4" t="s">
        <v>7</v>
      </c>
      <c r="E30" s="4" t="s">
        <v>8</v>
      </c>
      <c r="F30" s="4" t="s">
        <v>9</v>
      </c>
      <c r="G30" s="4" t="s">
        <v>10</v>
      </c>
      <c r="H30" s="4" t="s">
        <v>53</v>
      </c>
      <c r="I30" s="4" t="s">
        <v>54</v>
      </c>
      <c r="J30" s="4" t="s">
        <v>55</v>
      </c>
      <c r="K30" s="4" t="s">
        <v>56</v>
      </c>
    </row>
    <row r="31" spans="1:11" x14ac:dyDescent="0.3">
      <c r="A31">
        <f>INT((ROW()-31)/30)</f>
        <v>0</v>
      </c>
      <c r="B31" cm="1">
        <f t="array" ref="B31">INDEX('By Size'!$A$5:$A$10,MOD(ROW()-31,6)+1)</f>
        <v>10</v>
      </c>
      <c r="C31" cm="1">
        <f t="array" ref="C31">INDEX('By Target'!$A$5:$A$9,INT(MOD(ROW()-31,30)/6)+1)</f>
        <v>300</v>
      </c>
      <c r="D31" s="10" t="str">
        <f>IF(COUNTIFS(benchmark_results[round],$A31,benchmark_results[algo],D$30,benchmark_results[n_tracks],$B31,benchmark_results[target_s],$C31,benchmark_results[timed_out],TRUE)=1,"TO",SUMIFS(benchmark_results[runtime_s],benchmark_results[round],$A31,benchmark_results[algo],D$30,benchmark_results[n_tracks],$B31,benchmark_results[target_s],$C31))</f>
        <v>TO</v>
      </c>
      <c r="E31" s="10">
        <f>IF(COUNTIFS(benchmark_results[round],$A31,benchmark_results[algo],E$30,benchmark_results[n_tracks],$B31,benchmark_results[target_s],$C31,benchmark_results[timed_out],TRUE)=1,"TO",SUMIFS(benchmark_results[runtime_s],benchmark_results[round],$A31,benchmark_results[algo],E$30,benchmark_results[n_tracks],$B31,benchmark_results[target_s],$C31))</f>
        <v>1.0760000441223383E-4</v>
      </c>
      <c r="F31" s="10">
        <f>IF(COUNTIFS(benchmark_results[round],$A31,benchmark_results[algo],F$30,benchmark_results[n_tracks],$B31,benchmark_results[target_s],$C31,benchmark_results[timed_out],TRUE)=1,"TO",SUMIFS(benchmark_results[runtime_s],benchmark_results[round],$A31,benchmark_results[algo],F$30,benchmark_results[n_tracks],$B31,benchmark_results[target_s],$C31))</f>
        <v>4.8999994760379195E-5</v>
      </c>
      <c r="G31" s="10">
        <f>IF(COUNTIFS(benchmark_results[round],$A31,benchmark_results[algo],G$30,benchmark_results[n_tracks],$B31,benchmark_results[target_s],$C31,benchmark_results[timed_out],TRUE)=1,"TO",SUMIFS(benchmark_results[runtime_s],benchmark_results[round],$A31,benchmark_results[algo],G$30,benchmark_results[n_tracks],$B31,benchmark_results[target_s],$C31))</f>
        <v>4.8400004743598402E-5</v>
      </c>
      <c r="H31" s="19">
        <f>IFERROR($F31/$G31,"n/a")</f>
        <v>1.0123964867350586</v>
      </c>
      <c r="I31" t="str">
        <f>SUBSTITUTE(INDEX($D$30:$G$30,MATCH(MIN($D31:$G31),$D31:$G31,0)),"design_playlist_","")</f>
        <v>v4</v>
      </c>
      <c r="J31">
        <f>SUMIFS(benchmark_results[gap_s],benchmark_results[round],$A31,benchmark_results[algo],$F$30,benchmark_results[n_tracks],$B31,benchmark_results[target_s],$C31)</f>
        <v>0</v>
      </c>
      <c r="K31">
        <f>SUMIFS(benchmark_results[gap_s],benchmark_results[round],$A31,benchmark_results[algo],$G$30,benchmark_results[n_tracks],$B31,benchmark_results[target_s],$C31)</f>
        <v>0</v>
      </c>
    </row>
    <row r="32" spans="1:11" x14ac:dyDescent="0.3">
      <c r="A32">
        <f t="shared" ref="A32:A95" si="2">INT((ROW()-31)/30)</f>
        <v>0</v>
      </c>
      <c r="B32" cm="1">
        <f t="array" ref="B32">INDEX('By Size'!$A$5:$A$10,MOD(ROW()-31,6)+1)</f>
        <v>30</v>
      </c>
      <c r="C32" cm="1">
        <f t="array" ref="C32">INDEX('By Target'!$A$5:$A$9,INT(MOD(ROW()-31,30)/6)+1)</f>
        <v>300</v>
      </c>
      <c r="D32" s="10" t="str">
        <f>IF(COUNTIFS(benchmark_results[round],$A32,benchmark_results[algo],D$30,benchmark_results[n_tracks],$B32,benchmark_results[target_s],$C32,benchmark_results[timed_out],TRUE)=1,"TO",SUMIFS(benchmark_results[runtime_s],benchmark_results[round],$A32,benchmark_results[algo],D$30,benchmark_results[n_tracks],$B32,benchmark_results[target_s],$C32))</f>
        <v>TO</v>
      </c>
      <c r="E32" s="10">
        <f>IF(COUNTIFS(benchmark_results[round],$A32,benchmark_results[algo],E$30,benchmark_results[n_tracks],$B32,benchmark_results[target_s],$C32,benchmark_results[timed_out],TRUE)=1,"TO",SUMIFS(benchmark_results[runtime_s],benchmark_results[round],$A32,benchmark_results[algo],E$30,benchmark_results[n_tracks],$B32,benchmark_results[target_s],$C32))</f>
        <v>1.8689999997150153E-3</v>
      </c>
      <c r="F32" s="10">
        <f>IF(COUNTIFS(benchmark_results[round],$A32,benchmark_results[algo],F$30,benchmark_results[n_tracks],$B32,benchmark_results[target_s],$C32,benchmark_results[timed_out],TRUE)=1,"TO",SUMIFS(benchmark_results[runtime_s],benchmark_results[round],$A32,benchmark_results[algo],F$30,benchmark_results[n_tracks],$B32,benchmark_results[target_s],$C32))</f>
        <v>2.1379999816417694E-4</v>
      </c>
      <c r="G32" s="10">
        <f>IF(COUNTIFS(benchmark_results[round],$A32,benchmark_results[algo],G$30,benchmark_results[n_tracks],$B32,benchmark_results[target_s],$C32,benchmark_results[timed_out],TRUE)=1,"TO",SUMIFS(benchmark_results[runtime_s],benchmark_results[round],$A32,benchmark_results[algo],G$30,benchmark_results[n_tracks],$B32,benchmark_results[target_s],$C32))</f>
        <v>1.4020000526215881E-4</v>
      </c>
      <c r="H32" s="19">
        <f t="shared" ref="H32:H95" si="3">IFERROR($F32/$G32,"n/a")</f>
        <v>1.5249642663307617</v>
      </c>
      <c r="I32" t="str">
        <f t="shared" ref="I32:I95" si="4">SUBSTITUTE(INDEX($D$30:$G$30,MATCH(MIN($D32:$G32),$D32:$G32,0)),"design_playlist_","")</f>
        <v>v4</v>
      </c>
      <c r="J32">
        <f>SUMIFS(benchmark_results[gap_s],benchmark_results[round],$A32,benchmark_results[algo],$F$30,benchmark_results[n_tracks],$B32,benchmark_results[target_s],$C32)</f>
        <v>0</v>
      </c>
      <c r="K32">
        <f>SUMIFS(benchmark_results[gap_s],benchmark_results[round],$A32,benchmark_results[algo],$G$30,benchmark_results[n_tracks],$B32,benchmark_results[target_s],$C32)</f>
        <v>0</v>
      </c>
    </row>
    <row r="33" spans="1:11" x14ac:dyDescent="0.3">
      <c r="A33">
        <f t="shared" si="2"/>
        <v>0</v>
      </c>
      <c r="B33" cm="1">
        <f t="array" ref="B33">INDEX('By Size'!$A$5:$A$10,MOD(ROW()-31,6)+1)</f>
        <v>50</v>
      </c>
      <c r="C33" cm="1">
        <f t="array" ref="C33">INDEX('By Target'!$A$5:$A$9,INT(MOD(ROW()-31,30)/6)+1)</f>
        <v>300</v>
      </c>
      <c r="D33" s="10" t="str">
        <f>IF(COUNTIFS(benchmark_results[round],$A33,benchmark_results[algo],D$30,benchmark_results[n_tracks],$B33,benchmark_results[target_s],$C33,benchmark_results[timed_out],TRUE)=1,"TO",SUMIFS(benchmark_results[runtime_s],benchmark_results[round],$A33,benchmark_results[algo],D$30,benchmark_results[n_tracks],$B33,benchmark_results[target_s],$C33))</f>
        <v>TO</v>
      </c>
      <c r="E33" s="10">
        <f>IF(COUNTIFS(benchmark_results[round],$A33,benchmark_results[algo],E$30,benchmark_results[n_tracks],$B33,benchmark_results[target_s],$C33,benchmark_results[timed_out],TRUE)=1,"TO",SUMIFS(benchmark_results[runtime_s],benchmark_results[round],$A33,benchmark_results[algo],E$30,benchmark_results[n_tracks],$B33,benchmark_results[target_s],$C33))</f>
        <v>1.2973800010513514E-2</v>
      </c>
      <c r="F33" s="10">
        <f>IF(COUNTIFS(benchmark_results[round],$A33,benchmark_results[algo],F$30,benchmark_results[n_tracks],$B33,benchmark_results[target_s],$C33,benchmark_results[timed_out],TRUE)=1,"TO",SUMIFS(benchmark_results[runtime_s],benchmark_results[round],$A33,benchmark_results[algo],F$30,benchmark_results[n_tracks],$B33,benchmark_results[target_s],$C33))</f>
        <v>4.771999956574291E-4</v>
      </c>
      <c r="G33" s="10">
        <f>IF(COUNTIFS(benchmark_results[round],$A33,benchmark_results[algo],G$30,benchmark_results[n_tracks],$B33,benchmark_results[target_s],$C33,benchmark_results[timed_out],TRUE)=1,"TO",SUMIFS(benchmark_results[runtime_s],benchmark_results[round],$A33,benchmark_results[algo],G$30,benchmark_results[n_tracks],$B33,benchmark_results[target_s],$C33))</f>
        <v>5.559999990509823E-4</v>
      </c>
      <c r="H33" s="19">
        <f t="shared" si="3"/>
        <v>0.8582733749495427</v>
      </c>
      <c r="I33" t="str">
        <f t="shared" si="4"/>
        <v>v3</v>
      </c>
      <c r="J33">
        <f>SUMIFS(benchmark_results[gap_s],benchmark_results[round],$A33,benchmark_results[algo],$F$30,benchmark_results[n_tracks],$B33,benchmark_results[target_s],$C33)</f>
        <v>0</v>
      </c>
      <c r="K33">
        <f>SUMIFS(benchmark_results[gap_s],benchmark_results[round],$A33,benchmark_results[algo],$G$30,benchmark_results[n_tracks],$B33,benchmark_results[target_s],$C33)</f>
        <v>0</v>
      </c>
    </row>
    <row r="34" spans="1:11" x14ac:dyDescent="0.3">
      <c r="A34">
        <f t="shared" si="2"/>
        <v>0</v>
      </c>
      <c r="B34" cm="1">
        <f t="array" ref="B34">INDEX('By Size'!$A$5:$A$10,MOD(ROW()-31,6)+1)</f>
        <v>100</v>
      </c>
      <c r="C34" cm="1">
        <f t="array" ref="C34">INDEX('By Target'!$A$5:$A$9,INT(MOD(ROW()-31,30)/6)+1)</f>
        <v>300</v>
      </c>
      <c r="D34" s="10">
        <f>IF(COUNTIFS(benchmark_results[round],$A34,benchmark_results[algo],D$30,benchmark_results[n_tracks],$B34,benchmark_results[target_s],$C34,benchmark_results[timed_out],TRUE)=1,"TO",SUMIFS(benchmark_results[runtime_s],benchmark_results[round],$A34,benchmark_results[algo],D$30,benchmark_results[n_tracks],$B34,benchmark_results[target_s],$C34))</f>
        <v>9.6100004157051444E-5</v>
      </c>
      <c r="E34" s="10">
        <f>IF(COUNTIFS(benchmark_results[round],$A34,benchmark_results[algo],E$30,benchmark_results[n_tracks],$B34,benchmark_results[target_s],$C34,benchmark_results[timed_out],TRUE)=1,"TO",SUMIFS(benchmark_results[runtime_s],benchmark_results[round],$A34,benchmark_results[algo],E$30,benchmark_results[n_tracks],$B34,benchmark_results[target_s],$C34))</f>
        <v>0.25710560000152327</v>
      </c>
      <c r="F34" s="10">
        <f>IF(COUNTIFS(benchmark_results[round],$A34,benchmark_results[algo],F$30,benchmark_results[n_tracks],$B34,benchmark_results[target_s],$C34,benchmark_results[timed_out],TRUE)=1,"TO",SUMIFS(benchmark_results[runtime_s],benchmark_results[round],$A34,benchmark_results[algo],F$30,benchmark_results[n_tracks],$B34,benchmark_results[target_s],$C34))</f>
        <v>2.4922000011429191E-3</v>
      </c>
      <c r="G34" s="10">
        <f>IF(COUNTIFS(benchmark_results[round],$A34,benchmark_results[algo],G$30,benchmark_results[n_tracks],$B34,benchmark_results[target_s],$C34,benchmark_results[timed_out],TRUE)=1,"TO",SUMIFS(benchmark_results[runtime_s],benchmark_results[round],$A34,benchmark_results[algo],G$30,benchmark_results[n_tracks],$B34,benchmark_results[target_s],$C34))</f>
        <v>2.3406999971484765E-3</v>
      </c>
      <c r="H34" s="19">
        <f t="shared" si="3"/>
        <v>1.0647242295804695</v>
      </c>
      <c r="I34" t="str">
        <f t="shared" si="4"/>
        <v>v1</v>
      </c>
      <c r="J34">
        <f>SUMIFS(benchmark_results[gap_s],benchmark_results[round],$A34,benchmark_results[algo],$F$30,benchmark_results[n_tracks],$B34,benchmark_results[target_s],$C34)</f>
        <v>0</v>
      </c>
      <c r="K34">
        <f>SUMIFS(benchmark_results[gap_s],benchmark_results[round],$A34,benchmark_results[algo],$G$30,benchmark_results[n_tracks],$B34,benchmark_results[target_s],$C34)</f>
        <v>0</v>
      </c>
    </row>
    <row r="35" spans="1:11" x14ac:dyDescent="0.3">
      <c r="A35">
        <f t="shared" si="2"/>
        <v>0</v>
      </c>
      <c r="B35" cm="1">
        <f t="array" ref="B35">INDEX('By Size'!$A$5:$A$10,MOD(ROW()-31,6)+1)</f>
        <v>200</v>
      </c>
      <c r="C35" cm="1">
        <f t="array" ref="C35">INDEX('By Target'!$A$5:$A$9,INT(MOD(ROW()-31,30)/6)+1)</f>
        <v>300</v>
      </c>
      <c r="D35" s="10">
        <f>IF(COUNTIFS(benchmark_results[round],$A35,benchmark_results[algo],D$30,benchmark_results[n_tracks],$B35,benchmark_results[target_s],$C35,benchmark_results[timed_out],TRUE)=1,"TO",SUMIFS(benchmark_results[runtime_s],benchmark_results[round],$A35,benchmark_results[algo],D$30,benchmark_results[n_tracks],$B35,benchmark_results[target_s],$C35))</f>
        <v>4.8529999912716448E-4</v>
      </c>
      <c r="E35" s="10" t="str">
        <f>IF(COUNTIFS(benchmark_results[round],$A35,benchmark_results[algo],E$30,benchmark_results[n_tracks],$B35,benchmark_results[target_s],$C35,benchmark_results[timed_out],TRUE)=1,"TO",SUMIFS(benchmark_results[runtime_s],benchmark_results[round],$A35,benchmark_results[algo],E$30,benchmark_results[n_tracks],$B35,benchmark_results[target_s],$C35))</f>
        <v>TO</v>
      </c>
      <c r="F35" s="10">
        <f>IF(COUNTIFS(benchmark_results[round],$A35,benchmark_results[algo],F$30,benchmark_results[n_tracks],$B35,benchmark_results[target_s],$C35,benchmark_results[timed_out],TRUE)=1,"TO",SUMIFS(benchmark_results[runtime_s],benchmark_results[round],$A35,benchmark_results[algo],F$30,benchmark_results[n_tracks],$B35,benchmark_results[target_s],$C35))</f>
        <v>9.6612999914214015E-3</v>
      </c>
      <c r="G35" s="10">
        <f>IF(COUNTIFS(benchmark_results[round],$A35,benchmark_results[algo],G$30,benchmark_results[n_tracks],$B35,benchmark_results[target_s],$C35,benchmark_results[timed_out],TRUE)=1,"TO",SUMIFS(benchmark_results[runtime_s],benchmark_results[round],$A35,benchmark_results[algo],G$30,benchmark_results[n_tracks],$B35,benchmark_results[target_s],$C35))</f>
        <v>6.6784000082407147E-3</v>
      </c>
      <c r="H35" s="19">
        <f t="shared" si="3"/>
        <v>1.4466488948700258</v>
      </c>
      <c r="I35" t="str">
        <f t="shared" si="4"/>
        <v>v1</v>
      </c>
      <c r="J35">
        <f>SUMIFS(benchmark_results[gap_s],benchmark_results[round],$A35,benchmark_results[algo],$F$30,benchmark_results[n_tracks],$B35,benchmark_results[target_s],$C35)</f>
        <v>0</v>
      </c>
      <c r="K35">
        <f>SUMIFS(benchmark_results[gap_s],benchmark_results[round],$A35,benchmark_results[algo],$G$30,benchmark_results[n_tracks],$B35,benchmark_results[target_s],$C35)</f>
        <v>0</v>
      </c>
    </row>
    <row r="36" spans="1:11" x14ac:dyDescent="0.3">
      <c r="A36">
        <f t="shared" si="2"/>
        <v>0</v>
      </c>
      <c r="B36" cm="1">
        <f t="array" ref="B36">INDEX('By Size'!$A$5:$A$10,MOD(ROW()-31,6)+1)</f>
        <v>400</v>
      </c>
      <c r="C36" cm="1">
        <f t="array" ref="C36">INDEX('By Target'!$A$5:$A$9,INT(MOD(ROW()-31,30)/6)+1)</f>
        <v>300</v>
      </c>
      <c r="D36" s="10">
        <f>IF(COUNTIFS(benchmark_results[round],$A36,benchmark_results[algo],D$30,benchmark_results[n_tracks],$B36,benchmark_results[target_s],$C36,benchmark_results[timed_out],TRUE)=1,"TO",SUMIFS(benchmark_results[runtime_s],benchmark_results[round],$A36,benchmark_results[algo],D$30,benchmark_results[n_tracks],$B36,benchmark_results[target_s],$C36))</f>
        <v>2.5939999613910913E-4</v>
      </c>
      <c r="E36" s="10" t="str">
        <f>IF(COUNTIFS(benchmark_results[round],$A36,benchmark_results[algo],E$30,benchmark_results[n_tracks],$B36,benchmark_results[target_s],$C36,benchmark_results[timed_out],TRUE)=1,"TO",SUMIFS(benchmark_results[runtime_s],benchmark_results[round],$A36,benchmark_results[algo],E$30,benchmark_results[n_tracks],$B36,benchmark_results[target_s],$C36))</f>
        <v>TO</v>
      </c>
      <c r="F36" s="10">
        <f>IF(COUNTIFS(benchmark_results[round],$A36,benchmark_results[algo],F$30,benchmark_results[n_tracks],$B36,benchmark_results[target_s],$C36,benchmark_results[timed_out],TRUE)=1,"TO",SUMIFS(benchmark_results[runtime_s],benchmark_results[round],$A36,benchmark_results[algo],F$30,benchmark_results[n_tracks],$B36,benchmark_results[target_s],$C36))</f>
        <v>1.7122500008554198E-2</v>
      </c>
      <c r="G36" s="10">
        <f>IF(COUNTIFS(benchmark_results[round],$A36,benchmark_results[algo],G$30,benchmark_results[n_tracks],$B36,benchmark_results[target_s],$C36,benchmark_results[timed_out],TRUE)=1,"TO",SUMIFS(benchmark_results[runtime_s],benchmark_results[round],$A36,benchmark_results[algo],G$30,benchmark_results[n_tracks],$B36,benchmark_results[target_s],$C36))</f>
        <v>1.2106300011510029E-2</v>
      </c>
      <c r="H36" s="19">
        <f t="shared" si="3"/>
        <v>1.4143462488353198</v>
      </c>
      <c r="I36" t="str">
        <f t="shared" si="4"/>
        <v>v1</v>
      </c>
      <c r="J36">
        <f>SUMIFS(benchmark_results[gap_s],benchmark_results[round],$A36,benchmark_results[algo],$F$30,benchmark_results[n_tracks],$B36,benchmark_results[target_s],$C36)</f>
        <v>0</v>
      </c>
      <c r="K36">
        <f>SUMIFS(benchmark_results[gap_s],benchmark_results[round],$A36,benchmark_results[algo],$G$30,benchmark_results[n_tracks],$B36,benchmark_results[target_s],$C36)</f>
        <v>0</v>
      </c>
    </row>
    <row r="37" spans="1:11" x14ac:dyDescent="0.3">
      <c r="A37">
        <f t="shared" si="2"/>
        <v>0</v>
      </c>
      <c r="B37" cm="1">
        <f t="array" ref="B37">INDEX('By Size'!$A$5:$A$10,MOD(ROW()-31,6)+1)</f>
        <v>10</v>
      </c>
      <c r="C37" cm="1">
        <f t="array" ref="C37">INDEX('By Target'!$A$5:$A$9,INT(MOD(ROW()-31,30)/6)+1)</f>
        <v>600</v>
      </c>
      <c r="D37" s="10" t="str">
        <f>IF(COUNTIFS(benchmark_results[round],$A37,benchmark_results[algo],D$30,benchmark_results[n_tracks],$B37,benchmark_results[target_s],$C37,benchmark_results[timed_out],TRUE)=1,"TO",SUMIFS(benchmark_results[runtime_s],benchmark_results[round],$A37,benchmark_results[algo],D$30,benchmark_results[n_tracks],$B37,benchmark_results[target_s],$C37))</f>
        <v>TO</v>
      </c>
      <c r="E37" s="10">
        <f>IF(COUNTIFS(benchmark_results[round],$A37,benchmark_results[algo],E$30,benchmark_results[n_tracks],$B37,benchmark_results[target_s],$C37,benchmark_results[timed_out],TRUE)=1,"TO",SUMIFS(benchmark_results[runtime_s],benchmark_results[round],$A37,benchmark_results[algo],E$30,benchmark_results[n_tracks],$B37,benchmark_results[target_s],$C37))</f>
        <v>1.9179999071639031E-4</v>
      </c>
      <c r="F37" s="10">
        <f>IF(COUNTIFS(benchmark_results[round],$A37,benchmark_results[algo],F$30,benchmark_results[n_tracks],$B37,benchmark_results[target_s],$C37,benchmark_results[timed_out],TRUE)=1,"TO",SUMIFS(benchmark_results[runtime_s],benchmark_results[round],$A37,benchmark_results[algo],F$30,benchmark_results[n_tracks],$B37,benchmark_results[target_s],$C37))</f>
        <v>1.0379999002907425E-4</v>
      </c>
      <c r="G37" s="10">
        <f>IF(COUNTIFS(benchmark_results[round],$A37,benchmark_results[algo],G$30,benchmark_results[n_tracks],$B37,benchmark_results[target_s],$C37,benchmark_results[timed_out],TRUE)=1,"TO",SUMIFS(benchmark_results[runtime_s],benchmark_results[round],$A37,benchmark_results[algo],G$30,benchmark_results[n_tracks],$B37,benchmark_results[target_s],$C37))</f>
        <v>9.8699994850903749E-5</v>
      </c>
      <c r="H37" s="19">
        <f t="shared" si="3"/>
        <v>1.0516716863650759</v>
      </c>
      <c r="I37" t="str">
        <f t="shared" si="4"/>
        <v>v4</v>
      </c>
      <c r="J37">
        <f>SUMIFS(benchmark_results[gap_s],benchmark_results[round],$A37,benchmark_results[algo],$F$30,benchmark_results[n_tracks],$B37,benchmark_results[target_s],$C37)</f>
        <v>1</v>
      </c>
      <c r="K37">
        <f>SUMIFS(benchmark_results[gap_s],benchmark_results[round],$A37,benchmark_results[algo],$G$30,benchmark_results[n_tracks],$B37,benchmark_results[target_s],$C37)</f>
        <v>1</v>
      </c>
    </row>
    <row r="38" spans="1:11" x14ac:dyDescent="0.3">
      <c r="A38">
        <f t="shared" si="2"/>
        <v>0</v>
      </c>
      <c r="B38" cm="1">
        <f t="array" ref="B38">INDEX('By Size'!$A$5:$A$10,MOD(ROW()-31,6)+1)</f>
        <v>30</v>
      </c>
      <c r="C38" cm="1">
        <f t="array" ref="C38">INDEX('By Target'!$A$5:$A$9,INT(MOD(ROW()-31,30)/6)+1)</f>
        <v>600</v>
      </c>
      <c r="D38" s="10" t="str">
        <f>IF(COUNTIFS(benchmark_results[round],$A38,benchmark_results[algo],D$30,benchmark_results[n_tracks],$B38,benchmark_results[target_s],$C38,benchmark_results[timed_out],TRUE)=1,"TO",SUMIFS(benchmark_results[runtime_s],benchmark_results[round],$A38,benchmark_results[algo],D$30,benchmark_results[n_tracks],$B38,benchmark_results[target_s],$C38))</f>
        <v>TO</v>
      </c>
      <c r="E38" s="10">
        <f>IF(COUNTIFS(benchmark_results[round],$A38,benchmark_results[algo],E$30,benchmark_results[n_tracks],$B38,benchmark_results[target_s],$C38,benchmark_results[timed_out],TRUE)=1,"TO",SUMIFS(benchmark_results[runtime_s],benchmark_results[round],$A38,benchmark_results[algo],E$30,benchmark_results[n_tracks],$B38,benchmark_results[target_s],$C38))</f>
        <v>0.20129249998717569</v>
      </c>
      <c r="F38" s="10">
        <f>IF(COUNTIFS(benchmark_results[round],$A38,benchmark_results[algo],F$30,benchmark_results[n_tracks],$B38,benchmark_results[target_s],$C38,benchmark_results[timed_out],TRUE)=1,"TO",SUMIFS(benchmark_results[runtime_s],benchmark_results[round],$A38,benchmark_results[algo],F$30,benchmark_results[n_tracks],$B38,benchmark_results[target_s],$C38))</f>
        <v>3.2197999971685931E-3</v>
      </c>
      <c r="G38" s="10">
        <f>IF(COUNTIFS(benchmark_results[round],$A38,benchmark_results[algo],G$30,benchmark_results[n_tracks],$B38,benchmark_results[target_s],$C38,benchmark_results[timed_out],TRUE)=1,"TO",SUMIFS(benchmark_results[runtime_s],benchmark_results[round],$A38,benchmark_results[algo],G$30,benchmark_results[n_tracks],$B38,benchmark_results[target_s],$C38))</f>
        <v>1.1334000009810552E-3</v>
      </c>
      <c r="H38" s="19">
        <f t="shared" si="3"/>
        <v>2.8408328872256741</v>
      </c>
      <c r="I38" t="str">
        <f t="shared" si="4"/>
        <v>v4</v>
      </c>
      <c r="J38">
        <f>SUMIFS(benchmark_results[gap_s],benchmark_results[round],$A38,benchmark_results[algo],$F$30,benchmark_results[n_tracks],$B38,benchmark_results[target_s],$C38)</f>
        <v>0</v>
      </c>
      <c r="K38">
        <f>SUMIFS(benchmark_results[gap_s],benchmark_results[round],$A38,benchmark_results[algo],$G$30,benchmark_results[n_tracks],$B38,benchmark_results[target_s],$C38)</f>
        <v>0</v>
      </c>
    </row>
    <row r="39" spans="1:11" x14ac:dyDescent="0.3">
      <c r="A39">
        <f t="shared" si="2"/>
        <v>0</v>
      </c>
      <c r="B39" cm="1">
        <f t="array" ref="B39">INDEX('By Size'!$A$5:$A$10,MOD(ROW()-31,6)+1)</f>
        <v>50</v>
      </c>
      <c r="C39" cm="1">
        <f t="array" ref="C39">INDEX('By Target'!$A$5:$A$9,INT(MOD(ROW()-31,30)/6)+1)</f>
        <v>600</v>
      </c>
      <c r="D39" s="10">
        <f>IF(COUNTIFS(benchmark_results[round],$A39,benchmark_results[algo],D$30,benchmark_results[n_tracks],$B39,benchmark_results[target_s],$C39,benchmark_results[timed_out],TRUE)=1,"TO",SUMIFS(benchmark_results[runtime_s],benchmark_results[round],$A39,benchmark_results[algo],D$30,benchmark_results[n_tracks],$B39,benchmark_results[target_s],$C39))</f>
        <v>1.3280999992275611E-3</v>
      </c>
      <c r="E39" s="10">
        <f>IF(COUNTIFS(benchmark_results[round],$A39,benchmark_results[algo],E$30,benchmark_results[n_tracks],$B39,benchmark_results[target_s],$C39,benchmark_results[timed_out],TRUE)=1,"TO",SUMIFS(benchmark_results[runtime_s],benchmark_results[round],$A39,benchmark_results[algo],E$30,benchmark_results[n_tracks],$B39,benchmark_results[target_s],$C39))</f>
        <v>2.0185900999931619</v>
      </c>
      <c r="F39" s="10">
        <f>IF(COUNTIFS(benchmark_results[round],$A39,benchmark_results[algo],F$30,benchmark_results[n_tracks],$B39,benchmark_results[target_s],$C39,benchmark_results[timed_out],TRUE)=1,"TO",SUMIFS(benchmark_results[runtime_s],benchmark_results[round],$A39,benchmark_results[algo],F$30,benchmark_results[n_tracks],$B39,benchmark_results[target_s],$C39))</f>
        <v>4.7538999933749437E-3</v>
      </c>
      <c r="G39" s="10">
        <f>IF(COUNTIFS(benchmark_results[round],$A39,benchmark_results[algo],G$30,benchmark_results[n_tracks],$B39,benchmark_results[target_s],$C39,benchmark_results[timed_out],TRUE)=1,"TO",SUMIFS(benchmark_results[runtime_s],benchmark_results[round],$A39,benchmark_results[algo],G$30,benchmark_results[n_tracks],$B39,benchmark_results[target_s],$C39))</f>
        <v>2.0919999951729551E-3</v>
      </c>
      <c r="H39" s="19">
        <f t="shared" si="3"/>
        <v>2.2724187401262004</v>
      </c>
      <c r="I39" t="str">
        <f t="shared" si="4"/>
        <v>v1</v>
      </c>
      <c r="J39">
        <f>SUMIFS(benchmark_results[gap_s],benchmark_results[round],$A39,benchmark_results[algo],$F$30,benchmark_results[n_tracks],$B39,benchmark_results[target_s],$C39)</f>
        <v>0</v>
      </c>
      <c r="K39">
        <f>SUMIFS(benchmark_results[gap_s],benchmark_results[round],$A39,benchmark_results[algo],$G$30,benchmark_results[n_tracks],$B39,benchmark_results[target_s],$C39)</f>
        <v>0</v>
      </c>
    </row>
    <row r="40" spans="1:11" x14ac:dyDescent="0.3">
      <c r="A40">
        <f t="shared" si="2"/>
        <v>0</v>
      </c>
      <c r="B40" cm="1">
        <f t="array" ref="B40">INDEX('By Size'!$A$5:$A$10,MOD(ROW()-31,6)+1)</f>
        <v>100</v>
      </c>
      <c r="C40" cm="1">
        <f t="array" ref="C40">INDEX('By Target'!$A$5:$A$9,INT(MOD(ROW()-31,30)/6)+1)</f>
        <v>600</v>
      </c>
      <c r="D40" s="10">
        <f>IF(COUNTIFS(benchmark_results[round],$A40,benchmark_results[algo],D$30,benchmark_results[n_tracks],$B40,benchmark_results[target_s],$C40,benchmark_results[timed_out],TRUE)=1,"TO",SUMIFS(benchmark_results[runtime_s],benchmark_results[round],$A40,benchmark_results[algo],D$30,benchmark_results[n_tracks],$B40,benchmark_results[target_s],$C40))</f>
        <v>3.6469999758992344E-4</v>
      </c>
      <c r="E40" s="10" t="str">
        <f>IF(COUNTIFS(benchmark_results[round],$A40,benchmark_results[algo],E$30,benchmark_results[n_tracks],$B40,benchmark_results[target_s],$C40,benchmark_results[timed_out],TRUE)=1,"TO",SUMIFS(benchmark_results[runtime_s],benchmark_results[round],$A40,benchmark_results[algo],E$30,benchmark_results[n_tracks],$B40,benchmark_results[target_s],$C40))</f>
        <v>TO</v>
      </c>
      <c r="F40" s="10">
        <f>IF(COUNTIFS(benchmark_results[round],$A40,benchmark_results[algo],F$30,benchmark_results[n_tracks],$B40,benchmark_results[target_s],$C40,benchmark_results[timed_out],TRUE)=1,"TO",SUMIFS(benchmark_results[runtime_s],benchmark_results[round],$A40,benchmark_results[algo],F$30,benchmark_results[n_tracks],$B40,benchmark_results[target_s],$C40))</f>
        <v>1.1299200006760657E-2</v>
      </c>
      <c r="G40" s="10">
        <f>IF(COUNTIFS(benchmark_results[round],$A40,benchmark_results[algo],G$30,benchmark_results[n_tracks],$B40,benchmark_results[target_s],$C40,benchmark_results[timed_out],TRUE)=1,"TO",SUMIFS(benchmark_results[runtime_s],benchmark_results[round],$A40,benchmark_results[algo],G$30,benchmark_results[n_tracks],$B40,benchmark_results[target_s],$C40))</f>
        <v>5.5071999959181994E-3</v>
      </c>
      <c r="H40" s="19">
        <f t="shared" si="3"/>
        <v>2.0517141224461333</v>
      </c>
      <c r="I40" t="str">
        <f t="shared" si="4"/>
        <v>v1</v>
      </c>
      <c r="J40">
        <f>SUMIFS(benchmark_results[gap_s],benchmark_results[round],$A40,benchmark_results[algo],$F$30,benchmark_results[n_tracks],$B40,benchmark_results[target_s],$C40)</f>
        <v>0</v>
      </c>
      <c r="K40">
        <f>SUMIFS(benchmark_results[gap_s],benchmark_results[round],$A40,benchmark_results[algo],$G$30,benchmark_results[n_tracks],$B40,benchmark_results[target_s],$C40)</f>
        <v>0</v>
      </c>
    </row>
    <row r="41" spans="1:11" x14ac:dyDescent="0.3">
      <c r="A41">
        <f t="shared" si="2"/>
        <v>0</v>
      </c>
      <c r="B41" cm="1">
        <f t="array" ref="B41">INDEX('By Size'!$A$5:$A$10,MOD(ROW()-31,6)+1)</f>
        <v>200</v>
      </c>
      <c r="C41" cm="1">
        <f t="array" ref="C41">INDEX('By Target'!$A$5:$A$9,INT(MOD(ROW()-31,30)/6)+1)</f>
        <v>600</v>
      </c>
      <c r="D41" s="10">
        <f>IF(COUNTIFS(benchmark_results[round],$A41,benchmark_results[algo],D$30,benchmark_results[n_tracks],$B41,benchmark_results[target_s],$C41,benchmark_results[timed_out],TRUE)=1,"TO",SUMIFS(benchmark_results[runtime_s],benchmark_results[round],$A41,benchmark_results[algo],D$30,benchmark_results[n_tracks],$B41,benchmark_results[target_s],$C41))</f>
        <v>2.0640000002458692E-4</v>
      </c>
      <c r="E41" s="10" t="str">
        <f>IF(COUNTIFS(benchmark_results[round],$A41,benchmark_results[algo],E$30,benchmark_results[n_tracks],$B41,benchmark_results[target_s],$C41,benchmark_results[timed_out],TRUE)=1,"TO",SUMIFS(benchmark_results[runtime_s],benchmark_results[round],$A41,benchmark_results[algo],E$30,benchmark_results[n_tracks],$B41,benchmark_results[target_s],$C41))</f>
        <v>TO</v>
      </c>
      <c r="F41" s="10">
        <f>IF(COUNTIFS(benchmark_results[round],$A41,benchmark_results[algo],F$30,benchmark_results[n_tracks],$B41,benchmark_results[target_s],$C41,benchmark_results[timed_out],TRUE)=1,"TO",SUMIFS(benchmark_results[runtime_s],benchmark_results[round],$A41,benchmark_results[algo],F$30,benchmark_results[n_tracks],$B41,benchmark_results[target_s],$C41))</f>
        <v>2.7826899997307919E-2</v>
      </c>
      <c r="G41" s="10">
        <f>IF(COUNTIFS(benchmark_results[round],$A41,benchmark_results[algo],G$30,benchmark_results[n_tracks],$B41,benchmark_results[target_s],$C41,benchmark_results[timed_out],TRUE)=1,"TO",SUMIFS(benchmark_results[runtime_s],benchmark_results[round],$A41,benchmark_results[algo],G$30,benchmark_results[n_tracks],$B41,benchmark_results[target_s],$C41))</f>
        <v>1.0919899999862537E-2</v>
      </c>
      <c r="H41" s="19">
        <f t="shared" si="3"/>
        <v>2.5482742513812591</v>
      </c>
      <c r="I41" t="str">
        <f t="shared" si="4"/>
        <v>v1</v>
      </c>
      <c r="J41">
        <f>SUMIFS(benchmark_results[gap_s],benchmark_results[round],$A41,benchmark_results[algo],$F$30,benchmark_results[n_tracks],$B41,benchmark_results[target_s],$C41)</f>
        <v>0</v>
      </c>
      <c r="K41">
        <f>SUMIFS(benchmark_results[gap_s],benchmark_results[round],$A41,benchmark_results[algo],$G$30,benchmark_results[n_tracks],$B41,benchmark_results[target_s],$C41)</f>
        <v>0</v>
      </c>
    </row>
    <row r="42" spans="1:11" x14ac:dyDescent="0.3">
      <c r="A42">
        <f t="shared" si="2"/>
        <v>0</v>
      </c>
      <c r="B42" cm="1">
        <f t="array" ref="B42">INDEX('By Size'!$A$5:$A$10,MOD(ROW()-31,6)+1)</f>
        <v>400</v>
      </c>
      <c r="C42" cm="1">
        <f t="array" ref="C42">INDEX('By Target'!$A$5:$A$9,INT(MOD(ROW()-31,30)/6)+1)</f>
        <v>600</v>
      </c>
      <c r="D42" s="10">
        <f>IF(COUNTIFS(benchmark_results[round],$A42,benchmark_results[algo],D$30,benchmark_results[n_tracks],$B42,benchmark_results[target_s],$C42,benchmark_results[timed_out],TRUE)=1,"TO",SUMIFS(benchmark_results[runtime_s],benchmark_results[round],$A42,benchmark_results[algo],D$30,benchmark_results[n_tracks],$B42,benchmark_results[target_s],$C42))</f>
        <v>2.1340000093914568E-3</v>
      </c>
      <c r="E42" s="10" t="str">
        <f>IF(COUNTIFS(benchmark_results[round],$A42,benchmark_results[algo],E$30,benchmark_results[n_tracks],$B42,benchmark_results[target_s],$C42,benchmark_results[timed_out],TRUE)=1,"TO",SUMIFS(benchmark_results[runtime_s],benchmark_results[round],$A42,benchmark_results[algo],E$30,benchmark_results[n_tracks],$B42,benchmark_results[target_s],$C42))</f>
        <v>TO</v>
      </c>
      <c r="F42" s="10">
        <f>IF(COUNTIFS(benchmark_results[round],$A42,benchmark_results[algo],F$30,benchmark_results[n_tracks],$B42,benchmark_results[target_s],$C42,benchmark_results[timed_out],TRUE)=1,"TO",SUMIFS(benchmark_results[runtime_s],benchmark_results[round],$A42,benchmark_results[algo],F$30,benchmark_results[n_tracks],$B42,benchmark_results[target_s],$C42))</f>
        <v>6.2369300008867867E-2</v>
      </c>
      <c r="G42" s="10">
        <f>IF(COUNTIFS(benchmark_results[round],$A42,benchmark_results[algo],G$30,benchmark_results[n_tracks],$B42,benchmark_results[target_s],$C42,benchmark_results[timed_out],TRUE)=1,"TO",SUMIFS(benchmark_results[runtime_s],benchmark_results[round],$A42,benchmark_results[algo],G$30,benchmark_results[n_tracks],$B42,benchmark_results[target_s],$C42))</f>
        <v>2.6031299988972023E-2</v>
      </c>
      <c r="H42" s="19">
        <f t="shared" si="3"/>
        <v>2.3959348951181916</v>
      </c>
      <c r="I42" t="str">
        <f t="shared" si="4"/>
        <v>v1</v>
      </c>
      <c r="J42">
        <f>SUMIFS(benchmark_results[gap_s],benchmark_results[round],$A42,benchmark_results[algo],$F$30,benchmark_results[n_tracks],$B42,benchmark_results[target_s],$C42)</f>
        <v>0</v>
      </c>
      <c r="K42">
        <f>SUMIFS(benchmark_results[gap_s],benchmark_results[round],$A42,benchmark_results[algo],$G$30,benchmark_results[n_tracks],$B42,benchmark_results[target_s],$C42)</f>
        <v>0</v>
      </c>
    </row>
    <row r="43" spans="1:11" x14ac:dyDescent="0.3">
      <c r="A43">
        <f t="shared" si="2"/>
        <v>0</v>
      </c>
      <c r="B43" cm="1">
        <f t="array" ref="B43">INDEX('By Size'!$A$5:$A$10,MOD(ROW()-31,6)+1)</f>
        <v>10</v>
      </c>
      <c r="C43" cm="1">
        <f t="array" ref="C43">INDEX('By Target'!$A$5:$A$9,INT(MOD(ROW()-31,30)/6)+1)</f>
        <v>1200</v>
      </c>
      <c r="D43" s="10" t="str">
        <f>IF(COUNTIFS(benchmark_results[round],$A43,benchmark_results[algo],D$30,benchmark_results[n_tracks],$B43,benchmark_results[target_s],$C43,benchmark_results[timed_out],TRUE)=1,"TO",SUMIFS(benchmark_results[runtime_s],benchmark_results[round],$A43,benchmark_results[algo],D$30,benchmark_results[n_tracks],$B43,benchmark_results[target_s],$C43))</f>
        <v>TO</v>
      </c>
      <c r="E43" s="10">
        <f>IF(COUNTIFS(benchmark_results[round],$A43,benchmark_results[algo],E$30,benchmark_results[n_tracks],$B43,benchmark_results[target_s],$C43,benchmark_results[timed_out],TRUE)=1,"TO",SUMIFS(benchmark_results[runtime_s],benchmark_results[round],$A43,benchmark_results[algo],E$30,benchmark_results[n_tracks],$B43,benchmark_results[target_s],$C43))</f>
        <v>3.7680000241380185E-4</v>
      </c>
      <c r="F43" s="10">
        <f>IF(COUNTIFS(benchmark_results[round],$A43,benchmark_results[algo],F$30,benchmark_results[n_tracks],$B43,benchmark_results[target_s],$C43,benchmark_results[timed_out],TRUE)=1,"TO",SUMIFS(benchmark_results[runtime_s],benchmark_results[round],$A43,benchmark_results[algo],F$30,benchmark_results[n_tracks],$B43,benchmark_results[target_s],$C43))</f>
        <v>4.4740000157617033E-4</v>
      </c>
      <c r="G43" s="10">
        <f>IF(COUNTIFS(benchmark_results[round],$A43,benchmark_results[algo],G$30,benchmark_results[n_tracks],$B43,benchmark_results[target_s],$C43,benchmark_results[timed_out],TRUE)=1,"TO",SUMIFS(benchmark_results[runtime_s],benchmark_results[round],$A43,benchmark_results[algo],G$30,benchmark_results[n_tracks],$B43,benchmark_results[target_s],$C43))</f>
        <v>2.6000000070780516E-4</v>
      </c>
      <c r="H43" s="19">
        <f t="shared" si="3"/>
        <v>1.7207692321469268</v>
      </c>
      <c r="I43" t="str">
        <f t="shared" si="4"/>
        <v>v4</v>
      </c>
      <c r="J43">
        <f>SUMIFS(benchmark_results[gap_s],benchmark_results[round],$A43,benchmark_results[algo],$F$30,benchmark_results[n_tracks],$B43,benchmark_results[target_s],$C43)</f>
        <v>0</v>
      </c>
      <c r="K43">
        <f>SUMIFS(benchmark_results[gap_s],benchmark_results[round],$A43,benchmark_results[algo],$G$30,benchmark_results[n_tracks],$B43,benchmark_results[target_s],$C43)</f>
        <v>0</v>
      </c>
    </row>
    <row r="44" spans="1:11" x14ac:dyDescent="0.3">
      <c r="A44">
        <f t="shared" si="2"/>
        <v>0</v>
      </c>
      <c r="B44" cm="1">
        <f t="array" ref="B44">INDEX('By Size'!$A$5:$A$10,MOD(ROW()-31,6)+1)</f>
        <v>30</v>
      </c>
      <c r="C44" cm="1">
        <f t="array" ref="C44">INDEX('By Target'!$A$5:$A$9,INT(MOD(ROW()-31,30)/6)+1)</f>
        <v>1200</v>
      </c>
      <c r="D44" s="10">
        <f>IF(COUNTIFS(benchmark_results[round],$A44,benchmark_results[algo],D$30,benchmark_results[n_tracks],$B44,benchmark_results[target_s],$C44,benchmark_results[timed_out],TRUE)=1,"TO",SUMIFS(benchmark_results[runtime_s],benchmark_results[round],$A44,benchmark_results[algo],D$30,benchmark_results[n_tracks],$B44,benchmark_results[target_s],$C44))</f>
        <v>1.4994999946793541E-3</v>
      </c>
      <c r="E44" s="10">
        <f>IF(COUNTIFS(benchmark_results[round],$A44,benchmark_results[algo],E$30,benchmark_results[n_tracks],$B44,benchmark_results[target_s],$C44,benchmark_results[timed_out],TRUE)=1,"TO",SUMIFS(benchmark_results[runtime_s],benchmark_results[round],$A44,benchmark_results[algo],E$30,benchmark_results[n_tracks],$B44,benchmark_results[target_s],$C44))</f>
        <v>1.1999932000035187</v>
      </c>
      <c r="F44" s="10">
        <f>IF(COUNTIFS(benchmark_results[round],$A44,benchmark_results[algo],F$30,benchmark_results[n_tracks],$B44,benchmark_results[target_s],$C44,benchmark_results[timed_out],TRUE)=1,"TO",SUMIFS(benchmark_results[runtime_s],benchmark_results[round],$A44,benchmark_results[algo],F$30,benchmark_results[n_tracks],$B44,benchmark_results[target_s],$C44))</f>
        <v>6.1296999920159578E-3</v>
      </c>
      <c r="G44" s="10">
        <f>IF(COUNTIFS(benchmark_results[round],$A44,benchmark_results[algo],G$30,benchmark_results[n_tracks],$B44,benchmark_results[target_s],$C44,benchmark_results[timed_out],TRUE)=1,"TO",SUMIFS(benchmark_results[runtime_s],benchmark_results[round],$A44,benchmark_results[algo],G$30,benchmark_results[n_tracks],$B44,benchmark_results[target_s],$C44))</f>
        <v>3.1424999906448647E-3</v>
      </c>
      <c r="H44" s="19">
        <f t="shared" si="3"/>
        <v>1.9505807510784103</v>
      </c>
      <c r="I44" t="str">
        <f t="shared" si="4"/>
        <v>v1</v>
      </c>
      <c r="J44">
        <f>SUMIFS(benchmark_results[gap_s],benchmark_results[round],$A44,benchmark_results[algo],$F$30,benchmark_results[n_tracks],$B44,benchmark_results[target_s],$C44)</f>
        <v>0</v>
      </c>
      <c r="K44">
        <f>SUMIFS(benchmark_results[gap_s],benchmark_results[round],$A44,benchmark_results[algo],$G$30,benchmark_results[n_tracks],$B44,benchmark_results[target_s],$C44)</f>
        <v>0</v>
      </c>
    </row>
    <row r="45" spans="1:11" x14ac:dyDescent="0.3">
      <c r="A45">
        <f t="shared" si="2"/>
        <v>0</v>
      </c>
      <c r="B45" cm="1">
        <f t="array" ref="B45">INDEX('By Size'!$A$5:$A$10,MOD(ROW()-31,6)+1)</f>
        <v>50</v>
      </c>
      <c r="C45" cm="1">
        <f t="array" ref="C45">INDEX('By Target'!$A$5:$A$9,INT(MOD(ROW()-31,30)/6)+1)</f>
        <v>1200</v>
      </c>
      <c r="D45" s="10">
        <f>IF(COUNTIFS(benchmark_results[round],$A45,benchmark_results[algo],D$30,benchmark_results[n_tracks],$B45,benchmark_results[target_s],$C45,benchmark_results[timed_out],TRUE)=1,"TO",SUMIFS(benchmark_results[runtime_s],benchmark_results[round],$A45,benchmark_results[algo],D$30,benchmark_results[n_tracks],$B45,benchmark_results[target_s],$C45))</f>
        <v>1.8509999790694565E-4</v>
      </c>
      <c r="E45" s="10" t="str">
        <f>IF(COUNTIFS(benchmark_results[round],$A45,benchmark_results[algo],E$30,benchmark_results[n_tracks],$B45,benchmark_results[target_s],$C45,benchmark_results[timed_out],TRUE)=1,"TO",SUMIFS(benchmark_results[runtime_s],benchmark_results[round],$A45,benchmark_results[algo],E$30,benchmark_results[n_tracks],$B45,benchmark_results[target_s],$C45))</f>
        <v>TO</v>
      </c>
      <c r="F45" s="10">
        <f>IF(COUNTIFS(benchmark_results[round],$A45,benchmark_results[algo],F$30,benchmark_results[n_tracks],$B45,benchmark_results[target_s],$C45,benchmark_results[timed_out],TRUE)=1,"TO",SUMIFS(benchmark_results[runtime_s],benchmark_results[round],$A45,benchmark_results[algo],F$30,benchmark_results[n_tracks],$B45,benchmark_results[target_s],$C45))</f>
        <v>1.3782599999103695E-2</v>
      </c>
      <c r="G45" s="10">
        <f>IF(COUNTIFS(benchmark_results[round],$A45,benchmark_results[algo],G$30,benchmark_results[n_tracks],$B45,benchmark_results[target_s],$C45,benchmark_results[timed_out],TRUE)=1,"TO",SUMIFS(benchmark_results[runtime_s],benchmark_results[round],$A45,benchmark_results[algo],G$30,benchmark_results[n_tracks],$B45,benchmark_results[target_s],$C45))</f>
        <v>5.0836000009439886E-3</v>
      </c>
      <c r="H45" s="19">
        <f t="shared" si="3"/>
        <v>2.7111889205571571</v>
      </c>
      <c r="I45" t="str">
        <f t="shared" si="4"/>
        <v>v1</v>
      </c>
      <c r="J45">
        <f>SUMIFS(benchmark_results[gap_s],benchmark_results[round],$A45,benchmark_results[algo],$F$30,benchmark_results[n_tracks],$B45,benchmark_results[target_s],$C45)</f>
        <v>0</v>
      </c>
      <c r="K45">
        <f>SUMIFS(benchmark_results[gap_s],benchmark_results[round],$A45,benchmark_results[algo],$G$30,benchmark_results[n_tracks],$B45,benchmark_results[target_s],$C45)</f>
        <v>0</v>
      </c>
    </row>
    <row r="46" spans="1:11" x14ac:dyDescent="0.3">
      <c r="A46">
        <f t="shared" si="2"/>
        <v>0</v>
      </c>
      <c r="B46" cm="1">
        <f t="array" ref="B46">INDEX('By Size'!$A$5:$A$10,MOD(ROW()-31,6)+1)</f>
        <v>100</v>
      </c>
      <c r="C46" cm="1">
        <f t="array" ref="C46">INDEX('By Target'!$A$5:$A$9,INT(MOD(ROW()-31,30)/6)+1)</f>
        <v>1200</v>
      </c>
      <c r="D46" s="10">
        <f>IF(COUNTIFS(benchmark_results[round],$A46,benchmark_results[algo],D$30,benchmark_results[n_tracks],$B46,benchmark_results[target_s],$C46,benchmark_results[timed_out],TRUE)=1,"TO",SUMIFS(benchmark_results[runtime_s],benchmark_results[round],$A46,benchmark_results[algo],D$30,benchmark_results[n_tracks],$B46,benchmark_results[target_s],$C46))</f>
        <v>1.4424999972106889E-3</v>
      </c>
      <c r="E46" s="10" t="str">
        <f>IF(COUNTIFS(benchmark_results[round],$A46,benchmark_results[algo],E$30,benchmark_results[n_tracks],$B46,benchmark_results[target_s],$C46,benchmark_results[timed_out],TRUE)=1,"TO",SUMIFS(benchmark_results[runtime_s],benchmark_results[round],$A46,benchmark_results[algo],E$30,benchmark_results[n_tracks],$B46,benchmark_results[target_s],$C46))</f>
        <v>TO</v>
      </c>
      <c r="F46" s="10">
        <f>IF(COUNTIFS(benchmark_results[round],$A46,benchmark_results[algo],F$30,benchmark_results[n_tracks],$B46,benchmark_results[target_s],$C46,benchmark_results[timed_out],TRUE)=1,"TO",SUMIFS(benchmark_results[runtime_s],benchmark_results[round],$A46,benchmark_results[algo],F$30,benchmark_results[n_tracks],$B46,benchmark_results[target_s],$C46))</f>
        <v>3.3378899999661371E-2</v>
      </c>
      <c r="G46" s="10">
        <f>IF(COUNTIFS(benchmark_results[round],$A46,benchmark_results[algo],G$30,benchmark_results[n_tracks],$B46,benchmark_results[target_s],$C46,benchmark_results[timed_out],TRUE)=1,"TO",SUMIFS(benchmark_results[runtime_s],benchmark_results[round],$A46,benchmark_results[algo],G$30,benchmark_results[n_tracks],$B46,benchmark_results[target_s],$C46))</f>
        <v>1.4605000003939494E-2</v>
      </c>
      <c r="H46" s="19">
        <f t="shared" si="3"/>
        <v>2.2854433406818129</v>
      </c>
      <c r="I46" t="str">
        <f t="shared" si="4"/>
        <v>v1</v>
      </c>
      <c r="J46">
        <f>SUMIFS(benchmark_results[gap_s],benchmark_results[round],$A46,benchmark_results[algo],$F$30,benchmark_results[n_tracks],$B46,benchmark_results[target_s],$C46)</f>
        <v>0</v>
      </c>
      <c r="K46">
        <f>SUMIFS(benchmark_results[gap_s],benchmark_results[round],$A46,benchmark_results[algo],$G$30,benchmark_results[n_tracks],$B46,benchmark_results[target_s],$C46)</f>
        <v>0</v>
      </c>
    </row>
    <row r="47" spans="1:11" x14ac:dyDescent="0.3">
      <c r="A47">
        <f t="shared" si="2"/>
        <v>0</v>
      </c>
      <c r="B47" cm="1">
        <f t="array" ref="B47">INDEX('By Size'!$A$5:$A$10,MOD(ROW()-31,6)+1)</f>
        <v>200</v>
      </c>
      <c r="C47" cm="1">
        <f t="array" ref="C47">INDEX('By Target'!$A$5:$A$9,INT(MOD(ROW()-31,30)/6)+1)</f>
        <v>1200</v>
      </c>
      <c r="D47" s="10">
        <f>IF(COUNTIFS(benchmark_results[round],$A47,benchmark_results[algo],D$30,benchmark_results[n_tracks],$B47,benchmark_results[target_s],$C47,benchmark_results[timed_out],TRUE)=1,"TO",SUMIFS(benchmark_results[runtime_s],benchmark_results[round],$A47,benchmark_results[algo],D$30,benchmark_results[n_tracks],$B47,benchmark_results[target_s],$C47))</f>
        <v>1.0017000022344291E-3</v>
      </c>
      <c r="E47" s="10" t="str">
        <f>IF(COUNTIFS(benchmark_results[round],$A47,benchmark_results[algo],E$30,benchmark_results[n_tracks],$B47,benchmark_results[target_s],$C47,benchmark_results[timed_out],TRUE)=1,"TO",SUMIFS(benchmark_results[runtime_s],benchmark_results[round],$A47,benchmark_results[algo],E$30,benchmark_results[n_tracks],$B47,benchmark_results[target_s],$C47))</f>
        <v>TO</v>
      </c>
      <c r="F47" s="10">
        <f>IF(COUNTIFS(benchmark_results[round],$A47,benchmark_results[algo],F$30,benchmark_results[n_tracks],$B47,benchmark_results[target_s],$C47,benchmark_results[timed_out],TRUE)=1,"TO",SUMIFS(benchmark_results[runtime_s],benchmark_results[round],$A47,benchmark_results[algo],F$30,benchmark_results[n_tracks],$B47,benchmark_results[target_s],$C47))</f>
        <v>8.4214999995310791E-2</v>
      </c>
      <c r="G47" s="10">
        <f>IF(COUNTIFS(benchmark_results[round],$A47,benchmark_results[algo],G$30,benchmark_results[n_tracks],$B47,benchmark_results[target_s],$C47,benchmark_results[timed_out],TRUE)=1,"TO",SUMIFS(benchmark_results[runtime_s],benchmark_results[round],$A47,benchmark_results[algo],G$30,benchmark_results[n_tracks],$B47,benchmark_results[target_s],$C47))</f>
        <v>2.9762099991785362E-2</v>
      </c>
      <c r="H47" s="19">
        <f t="shared" si="3"/>
        <v>2.8296054384117713</v>
      </c>
      <c r="I47" t="str">
        <f t="shared" si="4"/>
        <v>v1</v>
      </c>
      <c r="J47">
        <f>SUMIFS(benchmark_results[gap_s],benchmark_results[round],$A47,benchmark_results[algo],$F$30,benchmark_results[n_tracks],$B47,benchmark_results[target_s],$C47)</f>
        <v>0</v>
      </c>
      <c r="K47">
        <f>SUMIFS(benchmark_results[gap_s],benchmark_results[round],$A47,benchmark_results[algo],$G$30,benchmark_results[n_tracks],$B47,benchmark_results[target_s],$C47)</f>
        <v>0</v>
      </c>
    </row>
    <row r="48" spans="1:11" x14ac:dyDescent="0.3">
      <c r="A48">
        <f t="shared" si="2"/>
        <v>0</v>
      </c>
      <c r="B48" cm="1">
        <f t="array" ref="B48">INDEX('By Size'!$A$5:$A$10,MOD(ROW()-31,6)+1)</f>
        <v>400</v>
      </c>
      <c r="C48" cm="1">
        <f t="array" ref="C48">INDEX('By Target'!$A$5:$A$9,INT(MOD(ROW()-31,30)/6)+1)</f>
        <v>1200</v>
      </c>
      <c r="D48" s="10">
        <f>IF(COUNTIFS(benchmark_results[round],$A48,benchmark_results[algo],D$30,benchmark_results[n_tracks],$B48,benchmark_results[target_s],$C48,benchmark_results[timed_out],TRUE)=1,"TO",SUMIFS(benchmark_results[runtime_s],benchmark_results[round],$A48,benchmark_results[algo],D$30,benchmark_results[n_tracks],$B48,benchmark_results[target_s],$C48))</f>
        <v>1.9614999910118058E-3</v>
      </c>
      <c r="E48" s="10" t="str">
        <f>IF(COUNTIFS(benchmark_results[round],$A48,benchmark_results[algo],E$30,benchmark_results[n_tracks],$B48,benchmark_results[target_s],$C48,benchmark_results[timed_out],TRUE)=1,"TO",SUMIFS(benchmark_results[runtime_s],benchmark_results[round],$A48,benchmark_results[algo],E$30,benchmark_results[n_tracks],$B48,benchmark_results[target_s],$C48))</f>
        <v>TO</v>
      </c>
      <c r="F48" s="10">
        <f>IF(COUNTIFS(benchmark_results[round],$A48,benchmark_results[algo],F$30,benchmark_results[n_tracks],$B48,benchmark_results[target_s],$C48,benchmark_results[timed_out],TRUE)=1,"TO",SUMIFS(benchmark_results[runtime_s],benchmark_results[round],$A48,benchmark_results[algo],F$30,benchmark_results[n_tracks],$B48,benchmark_results[target_s],$C48))</f>
        <v>0.23392520000925288</v>
      </c>
      <c r="G48" s="10">
        <f>IF(COUNTIFS(benchmark_results[round],$A48,benchmark_results[algo],G$30,benchmark_results[n_tracks],$B48,benchmark_results[target_s],$C48,benchmark_results[timed_out],TRUE)=1,"TO",SUMIFS(benchmark_results[runtime_s],benchmark_results[round],$A48,benchmark_results[algo],G$30,benchmark_results[n_tracks],$B48,benchmark_results[target_s],$C48))</f>
        <v>6.746930000372231E-2</v>
      </c>
      <c r="H48" s="19">
        <f t="shared" si="3"/>
        <v>3.4671354230197604</v>
      </c>
      <c r="I48" t="str">
        <f t="shared" si="4"/>
        <v>v1</v>
      </c>
      <c r="J48">
        <f>SUMIFS(benchmark_results[gap_s],benchmark_results[round],$A48,benchmark_results[algo],$F$30,benchmark_results[n_tracks],$B48,benchmark_results[target_s],$C48)</f>
        <v>0</v>
      </c>
      <c r="K48">
        <f>SUMIFS(benchmark_results[gap_s],benchmark_results[round],$A48,benchmark_results[algo],$G$30,benchmark_results[n_tracks],$B48,benchmark_results[target_s],$C48)</f>
        <v>0</v>
      </c>
    </row>
    <row r="49" spans="1:11" x14ac:dyDescent="0.3">
      <c r="A49">
        <f t="shared" si="2"/>
        <v>0</v>
      </c>
      <c r="B49" cm="1">
        <f t="array" ref="B49">INDEX('By Size'!$A$5:$A$10,MOD(ROW()-31,6)+1)</f>
        <v>10</v>
      </c>
      <c r="C49" cm="1">
        <f t="array" ref="C49">INDEX('By Target'!$A$5:$A$9,INT(MOD(ROW()-31,30)/6)+1)</f>
        <v>3600</v>
      </c>
      <c r="D49" s="10">
        <f>IF(COUNTIFS(benchmark_results[round],$A49,benchmark_results[algo],D$30,benchmark_results[n_tracks],$B49,benchmark_results[target_s],$C49,benchmark_results[timed_out],TRUE)=1,"TO",SUMIFS(benchmark_results[runtime_s],benchmark_results[round],$A49,benchmark_results[algo],D$30,benchmark_results[n_tracks],$B49,benchmark_results[target_s],$C49))</f>
        <v>2.1200001356191933E-5</v>
      </c>
      <c r="E49" s="10">
        <f>IF(COUNTIFS(benchmark_results[round],$A49,benchmark_results[algo],E$30,benchmark_results[n_tracks],$B49,benchmark_results[target_s],$C49,benchmark_results[timed_out],TRUE)=1,"TO",SUMIFS(benchmark_results[runtime_s],benchmark_results[round],$A49,benchmark_results[algo],E$30,benchmark_results[n_tracks],$B49,benchmark_results[target_s],$C49))</f>
        <v>6.0720001056324691E-4</v>
      </c>
      <c r="F49" s="10">
        <f>IF(COUNTIFS(benchmark_results[round],$A49,benchmark_results[algo],F$30,benchmark_results[n_tracks],$B49,benchmark_results[target_s],$C49,benchmark_results[timed_out],TRUE)=1,"TO",SUMIFS(benchmark_results[runtime_s],benchmark_results[round],$A49,benchmark_results[algo],F$30,benchmark_results[n_tracks],$B49,benchmark_results[target_s],$C49))</f>
        <v>7.9790000745560974E-4</v>
      </c>
      <c r="G49" s="10">
        <f>IF(COUNTIFS(benchmark_results[round],$A49,benchmark_results[algo],G$30,benchmark_results[n_tracks],$B49,benchmark_results[target_s],$C49,benchmark_results[timed_out],TRUE)=1,"TO",SUMIFS(benchmark_results[runtime_s],benchmark_results[round],$A49,benchmark_results[algo],G$30,benchmark_results[n_tracks],$B49,benchmark_results[target_s],$C49))</f>
        <v>4.169999883743003E-4</v>
      </c>
      <c r="H49" s="19">
        <f t="shared" si="3"/>
        <v>1.9134293278190995</v>
      </c>
      <c r="I49" t="str">
        <f t="shared" si="4"/>
        <v>v1</v>
      </c>
      <c r="J49">
        <f>SUMIFS(benchmark_results[gap_s],benchmark_results[round],$A49,benchmark_results[algo],$F$30,benchmark_results[n_tracks],$B49,benchmark_results[target_s],$C49)</f>
        <v>1177</v>
      </c>
      <c r="K49">
        <f>SUMIFS(benchmark_results[gap_s],benchmark_results[round],$A49,benchmark_results[algo],$G$30,benchmark_results[n_tracks],$B49,benchmark_results[target_s],$C49)</f>
        <v>1177</v>
      </c>
    </row>
    <row r="50" spans="1:11" x14ac:dyDescent="0.3">
      <c r="A50">
        <f t="shared" si="2"/>
        <v>0</v>
      </c>
      <c r="B50" cm="1">
        <f t="array" ref="B50">INDEX('By Size'!$A$5:$A$10,MOD(ROW()-31,6)+1)</f>
        <v>30</v>
      </c>
      <c r="C50" cm="1">
        <f t="array" ref="C50">INDEX('By Target'!$A$5:$A$9,INT(MOD(ROW()-31,30)/6)+1)</f>
        <v>3600</v>
      </c>
      <c r="D50" s="10">
        <f>IF(COUNTIFS(benchmark_results[round],$A50,benchmark_results[algo],D$30,benchmark_results[n_tracks],$B50,benchmark_results[target_s],$C50,benchmark_results[timed_out],TRUE)=1,"TO",SUMIFS(benchmark_results[runtime_s],benchmark_results[round],$A50,benchmark_results[algo],D$30,benchmark_results[n_tracks],$B50,benchmark_results[target_s],$C50))</f>
        <v>4.2169999505858868E-4</v>
      </c>
      <c r="E50" s="10" t="str">
        <f>IF(COUNTIFS(benchmark_results[round],$A50,benchmark_results[algo],E$30,benchmark_results[n_tracks],$B50,benchmark_results[target_s],$C50,benchmark_results[timed_out],TRUE)=1,"TO",SUMIFS(benchmark_results[runtime_s],benchmark_results[round],$A50,benchmark_results[algo],E$30,benchmark_results[n_tracks],$B50,benchmark_results[target_s],$C50))</f>
        <v>TO</v>
      </c>
      <c r="F50" s="10">
        <f>IF(COUNTIFS(benchmark_results[round],$A50,benchmark_results[algo],F$30,benchmark_results[n_tracks],$B50,benchmark_results[target_s],$C50,benchmark_results[timed_out],TRUE)=1,"TO",SUMIFS(benchmark_results[runtime_s],benchmark_results[round],$A50,benchmark_results[algo],F$30,benchmark_results[n_tracks],$B50,benchmark_results[target_s],$C50))</f>
        <v>3.084110000054352E-2</v>
      </c>
      <c r="G50" s="10">
        <f>IF(COUNTIFS(benchmark_results[round],$A50,benchmark_results[algo],G$30,benchmark_results[n_tracks],$B50,benchmark_results[target_s],$C50,benchmark_results[timed_out],TRUE)=1,"TO",SUMIFS(benchmark_results[runtime_s],benchmark_results[round],$A50,benchmark_results[algo],G$30,benchmark_results[n_tracks],$B50,benchmark_results[target_s],$C50))</f>
        <v>1.1110299994470552E-2</v>
      </c>
      <c r="H50" s="19">
        <f t="shared" si="3"/>
        <v>2.7759016422502296</v>
      </c>
      <c r="I50" t="str">
        <f t="shared" si="4"/>
        <v>v1</v>
      </c>
      <c r="J50">
        <f>SUMIFS(benchmark_results[gap_s],benchmark_results[round],$A50,benchmark_results[algo],$F$30,benchmark_results[n_tracks],$B50,benchmark_results[target_s],$C50)</f>
        <v>0</v>
      </c>
      <c r="K50">
        <f>SUMIFS(benchmark_results[gap_s],benchmark_results[round],$A50,benchmark_results[algo],$G$30,benchmark_results[n_tracks],$B50,benchmark_results[target_s],$C50)</f>
        <v>0</v>
      </c>
    </row>
    <row r="51" spans="1:11" x14ac:dyDescent="0.3">
      <c r="A51">
        <f t="shared" si="2"/>
        <v>0</v>
      </c>
      <c r="B51" cm="1">
        <f t="array" ref="B51">INDEX('By Size'!$A$5:$A$10,MOD(ROW()-31,6)+1)</f>
        <v>50</v>
      </c>
      <c r="C51" cm="1">
        <f t="array" ref="C51">INDEX('By Target'!$A$5:$A$9,INT(MOD(ROW()-31,30)/6)+1)</f>
        <v>3600</v>
      </c>
      <c r="D51" s="10">
        <f>IF(COUNTIFS(benchmark_results[round],$A51,benchmark_results[algo],D$30,benchmark_results[n_tracks],$B51,benchmark_results[target_s],$C51,benchmark_results[timed_out],TRUE)=1,"TO",SUMIFS(benchmark_results[runtime_s],benchmark_results[round],$A51,benchmark_results[algo],D$30,benchmark_results[n_tracks],$B51,benchmark_results[target_s],$C51))</f>
        <v>1.181399988126941E-3</v>
      </c>
      <c r="E51" s="10" t="str">
        <f>IF(COUNTIFS(benchmark_results[round],$A51,benchmark_results[algo],E$30,benchmark_results[n_tracks],$B51,benchmark_results[target_s],$C51,benchmark_results[timed_out],TRUE)=1,"TO",SUMIFS(benchmark_results[runtime_s],benchmark_results[round],$A51,benchmark_results[algo],E$30,benchmark_results[n_tracks],$B51,benchmark_results[target_s],$C51))</f>
        <v>TO</v>
      </c>
      <c r="F51" s="10">
        <f>IF(COUNTIFS(benchmark_results[round],$A51,benchmark_results[algo],F$30,benchmark_results[n_tracks],$B51,benchmark_results[target_s],$C51,benchmark_results[timed_out],TRUE)=1,"TO",SUMIFS(benchmark_results[runtime_s],benchmark_results[round],$A51,benchmark_results[algo],F$30,benchmark_results[n_tracks],$B51,benchmark_results[target_s],$C51))</f>
        <v>6.6107499995268881E-2</v>
      </c>
      <c r="G51" s="10">
        <f>IF(COUNTIFS(benchmark_results[round],$A51,benchmark_results[algo],G$30,benchmark_results[n_tracks],$B51,benchmark_results[target_s],$C51,benchmark_results[timed_out],TRUE)=1,"TO",SUMIFS(benchmark_results[runtime_s],benchmark_results[round],$A51,benchmark_results[algo],G$30,benchmark_results[n_tracks],$B51,benchmark_results[target_s],$C51))</f>
        <v>2.7393299998948351E-2</v>
      </c>
      <c r="H51" s="19">
        <f t="shared" si="3"/>
        <v>2.4132725884726121</v>
      </c>
      <c r="I51" t="str">
        <f t="shared" si="4"/>
        <v>v1</v>
      </c>
      <c r="J51">
        <f>SUMIFS(benchmark_results[gap_s],benchmark_results[round],$A51,benchmark_results[algo],$F$30,benchmark_results[n_tracks],$B51,benchmark_results[target_s],$C51)</f>
        <v>0</v>
      </c>
      <c r="K51">
        <f>SUMIFS(benchmark_results[gap_s],benchmark_results[round],$A51,benchmark_results[algo],$G$30,benchmark_results[n_tracks],$B51,benchmark_results[target_s],$C51)</f>
        <v>0</v>
      </c>
    </row>
    <row r="52" spans="1:11" x14ac:dyDescent="0.3">
      <c r="A52">
        <f t="shared" si="2"/>
        <v>0</v>
      </c>
      <c r="B52" cm="1">
        <f t="array" ref="B52">INDEX('By Size'!$A$5:$A$10,MOD(ROW()-31,6)+1)</f>
        <v>100</v>
      </c>
      <c r="C52" cm="1">
        <f t="array" ref="C52">INDEX('By Target'!$A$5:$A$9,INT(MOD(ROW()-31,30)/6)+1)</f>
        <v>3600</v>
      </c>
      <c r="D52" s="10">
        <f>IF(COUNTIFS(benchmark_results[round],$A52,benchmark_results[algo],D$30,benchmark_results[n_tracks],$B52,benchmark_results[target_s],$C52,benchmark_results[timed_out],TRUE)=1,"TO",SUMIFS(benchmark_results[runtime_s],benchmark_results[round],$A52,benchmark_results[algo],D$30,benchmark_results[n_tracks],$B52,benchmark_results[target_s],$C52))</f>
        <v>7.0209999103099108E-4</v>
      </c>
      <c r="E52" s="10" t="str">
        <f>IF(COUNTIFS(benchmark_results[round],$A52,benchmark_results[algo],E$30,benchmark_results[n_tracks],$B52,benchmark_results[target_s],$C52,benchmark_results[timed_out],TRUE)=1,"TO",SUMIFS(benchmark_results[runtime_s],benchmark_results[round],$A52,benchmark_results[algo],E$30,benchmark_results[n_tracks],$B52,benchmark_results[target_s],$C52))</f>
        <v>TO</v>
      </c>
      <c r="F52" s="10">
        <f>IF(COUNTIFS(benchmark_results[round],$A52,benchmark_results[algo],F$30,benchmark_results[n_tracks],$B52,benchmark_results[target_s],$C52,benchmark_results[timed_out],TRUE)=1,"TO",SUMIFS(benchmark_results[runtime_s],benchmark_results[round],$A52,benchmark_results[algo],F$30,benchmark_results[n_tracks],$B52,benchmark_results[target_s],$C52))</f>
        <v>0.20573719999811146</v>
      </c>
      <c r="G52" s="10">
        <f>IF(COUNTIFS(benchmark_results[round],$A52,benchmark_results[algo],G$30,benchmark_results[n_tracks],$B52,benchmark_results[target_s],$C52,benchmark_results[timed_out],TRUE)=1,"TO",SUMIFS(benchmark_results[runtime_s],benchmark_results[round],$A52,benchmark_results[algo],G$30,benchmark_results[n_tracks],$B52,benchmark_results[target_s],$C52))</f>
        <v>7.4926000001141801E-2</v>
      </c>
      <c r="H52" s="19">
        <f t="shared" si="3"/>
        <v>2.7458719269008918</v>
      </c>
      <c r="I52" t="str">
        <f t="shared" si="4"/>
        <v>v1</v>
      </c>
      <c r="J52">
        <f>SUMIFS(benchmark_results[gap_s],benchmark_results[round],$A52,benchmark_results[algo],$F$30,benchmark_results[n_tracks],$B52,benchmark_results[target_s],$C52)</f>
        <v>0</v>
      </c>
      <c r="K52">
        <f>SUMIFS(benchmark_results[gap_s],benchmark_results[round],$A52,benchmark_results[algo],$G$30,benchmark_results[n_tracks],$B52,benchmark_results[target_s],$C52)</f>
        <v>0</v>
      </c>
    </row>
    <row r="53" spans="1:11" x14ac:dyDescent="0.3">
      <c r="A53">
        <f t="shared" si="2"/>
        <v>0</v>
      </c>
      <c r="B53" cm="1">
        <f t="array" ref="B53">INDEX('By Size'!$A$5:$A$10,MOD(ROW()-31,6)+1)</f>
        <v>200</v>
      </c>
      <c r="C53" cm="1">
        <f t="array" ref="C53">INDEX('By Target'!$A$5:$A$9,INT(MOD(ROW()-31,30)/6)+1)</f>
        <v>3600</v>
      </c>
      <c r="D53" s="10">
        <f>IF(COUNTIFS(benchmark_results[round],$A53,benchmark_results[algo],D$30,benchmark_results[n_tracks],$B53,benchmark_results[target_s],$C53,benchmark_results[timed_out],TRUE)=1,"TO",SUMIFS(benchmark_results[runtime_s],benchmark_results[round],$A53,benchmark_results[algo],D$30,benchmark_results[n_tracks],$B53,benchmark_results[target_s],$C53))</f>
        <v>1.5469999925699085E-4</v>
      </c>
      <c r="E53" s="10" t="str">
        <f>IF(COUNTIFS(benchmark_results[round],$A53,benchmark_results[algo],E$30,benchmark_results[n_tracks],$B53,benchmark_results[target_s],$C53,benchmark_results[timed_out],TRUE)=1,"TO",SUMIFS(benchmark_results[runtime_s],benchmark_results[round],$A53,benchmark_results[algo],E$30,benchmark_results[n_tracks],$B53,benchmark_results[target_s],$C53))</f>
        <v>TO</v>
      </c>
      <c r="F53" s="10">
        <f>IF(COUNTIFS(benchmark_results[round],$A53,benchmark_results[algo],F$30,benchmark_results[n_tracks],$B53,benchmark_results[target_s],$C53,benchmark_results[timed_out],TRUE)=1,"TO",SUMIFS(benchmark_results[runtime_s],benchmark_results[round],$A53,benchmark_results[algo],F$30,benchmark_results[n_tracks],$B53,benchmark_results[target_s],$C53))</f>
        <v>0.50039149999793153</v>
      </c>
      <c r="G53" s="10">
        <f>IF(COUNTIFS(benchmark_results[round],$A53,benchmark_results[algo],G$30,benchmark_results[n_tracks],$B53,benchmark_results[target_s],$C53,benchmark_results[timed_out],TRUE)=1,"TO",SUMIFS(benchmark_results[runtime_s],benchmark_results[round],$A53,benchmark_results[algo],G$30,benchmark_results[n_tracks],$B53,benchmark_results[target_s],$C53))</f>
        <v>0.15194609999889508</v>
      </c>
      <c r="H53" s="19">
        <f t="shared" si="3"/>
        <v>3.2932171342441188</v>
      </c>
      <c r="I53" t="str">
        <f t="shared" si="4"/>
        <v>v1</v>
      </c>
      <c r="J53">
        <f>SUMIFS(benchmark_results[gap_s],benchmark_results[round],$A53,benchmark_results[algo],$F$30,benchmark_results[n_tracks],$B53,benchmark_results[target_s],$C53)</f>
        <v>0</v>
      </c>
      <c r="K53">
        <f>SUMIFS(benchmark_results[gap_s],benchmark_results[round],$A53,benchmark_results[algo],$G$30,benchmark_results[n_tracks],$B53,benchmark_results[target_s],$C53)</f>
        <v>0</v>
      </c>
    </row>
    <row r="54" spans="1:11" x14ac:dyDescent="0.3">
      <c r="A54">
        <f t="shared" si="2"/>
        <v>0</v>
      </c>
      <c r="B54" cm="1">
        <f t="array" ref="B54">INDEX('By Size'!$A$5:$A$10,MOD(ROW()-31,6)+1)</f>
        <v>400</v>
      </c>
      <c r="C54" cm="1">
        <f t="array" ref="C54">INDEX('By Target'!$A$5:$A$9,INT(MOD(ROW()-31,30)/6)+1)</f>
        <v>3600</v>
      </c>
      <c r="D54" s="10">
        <f>IF(COUNTIFS(benchmark_results[round],$A54,benchmark_results[algo],D$30,benchmark_results[n_tracks],$B54,benchmark_results[target_s],$C54,benchmark_results[timed_out],TRUE)=1,"TO",SUMIFS(benchmark_results[runtime_s],benchmark_results[round],$A54,benchmark_results[algo],D$30,benchmark_results[n_tracks],$B54,benchmark_results[target_s],$C54))</f>
        <v>5.9029999829363078E-4</v>
      </c>
      <c r="E54" s="10" t="str">
        <f>IF(COUNTIFS(benchmark_results[round],$A54,benchmark_results[algo],E$30,benchmark_results[n_tracks],$B54,benchmark_results[target_s],$C54,benchmark_results[timed_out],TRUE)=1,"TO",SUMIFS(benchmark_results[runtime_s],benchmark_results[round],$A54,benchmark_results[algo],E$30,benchmark_results[n_tracks],$B54,benchmark_results[target_s],$C54))</f>
        <v>TO</v>
      </c>
      <c r="F54" s="10">
        <f>IF(COUNTIFS(benchmark_results[round],$A54,benchmark_results[algo],F$30,benchmark_results[n_tracks],$B54,benchmark_results[target_s],$C54,benchmark_results[timed_out],TRUE)=1,"TO",SUMIFS(benchmark_results[runtime_s],benchmark_results[round],$A54,benchmark_results[algo],F$30,benchmark_results[n_tracks],$B54,benchmark_results[target_s],$C54))</f>
        <v>1.0115996999957133</v>
      </c>
      <c r="G54" s="10">
        <f>IF(COUNTIFS(benchmark_results[round],$A54,benchmark_results[algo],G$30,benchmark_results[n_tracks],$B54,benchmark_results[target_s],$C54,benchmark_results[timed_out],TRUE)=1,"TO",SUMIFS(benchmark_results[runtime_s],benchmark_results[round],$A54,benchmark_results[algo],G$30,benchmark_results[n_tracks],$B54,benchmark_results[target_s],$C54))</f>
        <v>0.35843570000724867</v>
      </c>
      <c r="H54" s="19">
        <f t="shared" si="3"/>
        <v>2.822262681912699</v>
      </c>
      <c r="I54" t="str">
        <f t="shared" si="4"/>
        <v>v1</v>
      </c>
      <c r="J54">
        <f>SUMIFS(benchmark_results[gap_s],benchmark_results[round],$A54,benchmark_results[algo],$F$30,benchmark_results[n_tracks],$B54,benchmark_results[target_s],$C54)</f>
        <v>0</v>
      </c>
      <c r="K54">
        <f>SUMIFS(benchmark_results[gap_s],benchmark_results[round],$A54,benchmark_results[algo],$G$30,benchmark_results[n_tracks],$B54,benchmark_results[target_s],$C54)</f>
        <v>0</v>
      </c>
    </row>
    <row r="55" spans="1:11" x14ac:dyDescent="0.3">
      <c r="A55">
        <f t="shared" si="2"/>
        <v>0</v>
      </c>
      <c r="B55" cm="1">
        <f t="array" ref="B55">INDEX('By Size'!$A$5:$A$10,MOD(ROW()-31,6)+1)</f>
        <v>10</v>
      </c>
      <c r="C55" cm="1">
        <f t="array" ref="C55">INDEX('By Target'!$A$5:$A$9,INT(MOD(ROW()-31,30)/6)+1)</f>
        <v>7200</v>
      </c>
      <c r="D55" s="10">
        <f>IF(COUNTIFS(benchmark_results[round],$A55,benchmark_results[algo],D$30,benchmark_results[n_tracks],$B55,benchmark_results[target_s],$C55,benchmark_results[timed_out],TRUE)=1,"TO",SUMIFS(benchmark_results[runtime_s],benchmark_results[round],$A55,benchmark_results[algo],D$30,benchmark_results[n_tracks],$B55,benchmark_results[target_s],$C55))</f>
        <v>1.7900005332194269E-5</v>
      </c>
      <c r="E55" s="10">
        <f>IF(COUNTIFS(benchmark_results[round],$A55,benchmark_results[algo],E$30,benchmark_results[n_tracks],$B55,benchmark_results[target_s],$C55,benchmark_results[timed_out],TRUE)=1,"TO",SUMIFS(benchmark_results[runtime_s],benchmark_results[round],$A55,benchmark_results[algo],E$30,benchmark_results[n_tracks],$B55,benchmark_results[target_s],$C55))</f>
        <v>5.0989999726880342E-4</v>
      </c>
      <c r="F55" s="10">
        <f>IF(COUNTIFS(benchmark_results[round],$A55,benchmark_results[algo],F$30,benchmark_results[n_tracks],$B55,benchmark_results[target_s],$C55,benchmark_results[timed_out],TRUE)=1,"TO",SUMIFS(benchmark_results[runtime_s],benchmark_results[round],$A55,benchmark_results[algo],F$30,benchmark_results[n_tracks],$B55,benchmark_results[target_s],$C55))</f>
        <v>6.0870000743307173E-4</v>
      </c>
      <c r="G55" s="10">
        <f>IF(COUNTIFS(benchmark_results[round],$A55,benchmark_results[algo],G$30,benchmark_results[n_tracks],$B55,benchmark_results[target_s],$C55,benchmark_results[timed_out],TRUE)=1,"TO",SUMIFS(benchmark_results[runtime_s],benchmark_results[round],$A55,benchmark_results[algo],G$30,benchmark_results[n_tracks],$B55,benchmark_results[target_s],$C55))</f>
        <v>4.2039999971166253E-4</v>
      </c>
      <c r="H55" s="19">
        <f t="shared" si="3"/>
        <v>1.4479067741449989</v>
      </c>
      <c r="I55" t="str">
        <f t="shared" si="4"/>
        <v>v1</v>
      </c>
      <c r="J55">
        <f>SUMIFS(benchmark_results[gap_s],benchmark_results[round],$A55,benchmark_results[algo],$F$30,benchmark_results[n_tracks],$B55,benchmark_results[target_s],$C55)</f>
        <v>4640</v>
      </c>
      <c r="K55">
        <f>SUMIFS(benchmark_results[gap_s],benchmark_results[round],$A55,benchmark_results[algo],$G$30,benchmark_results[n_tracks],$B55,benchmark_results[target_s],$C55)</f>
        <v>4640</v>
      </c>
    </row>
    <row r="56" spans="1:11" x14ac:dyDescent="0.3">
      <c r="A56">
        <f t="shared" si="2"/>
        <v>0</v>
      </c>
      <c r="B56" cm="1">
        <f t="array" ref="B56">INDEX('By Size'!$A$5:$A$10,MOD(ROW()-31,6)+1)</f>
        <v>30</v>
      </c>
      <c r="C56" cm="1">
        <f t="array" ref="C56">INDEX('By Target'!$A$5:$A$9,INT(MOD(ROW()-31,30)/6)+1)</f>
        <v>7200</v>
      </c>
      <c r="D56" s="10" t="str">
        <f>IF(COUNTIFS(benchmark_results[round],$A56,benchmark_results[algo],D$30,benchmark_results[n_tracks],$B56,benchmark_results[target_s],$C56,benchmark_results[timed_out],TRUE)=1,"TO",SUMIFS(benchmark_results[runtime_s],benchmark_results[round],$A56,benchmark_results[algo],D$30,benchmark_results[n_tracks],$B56,benchmark_results[target_s],$C56))</f>
        <v>TO</v>
      </c>
      <c r="E56" s="10" t="str">
        <f>IF(COUNTIFS(benchmark_results[round],$A56,benchmark_results[algo],E$30,benchmark_results[n_tracks],$B56,benchmark_results[target_s],$C56,benchmark_results[timed_out],TRUE)=1,"TO",SUMIFS(benchmark_results[runtime_s],benchmark_results[round],$A56,benchmark_results[algo],E$30,benchmark_results[n_tracks],$B56,benchmark_results[target_s],$C56))</f>
        <v>TO</v>
      </c>
      <c r="F56" s="10">
        <f>IF(COUNTIFS(benchmark_results[round],$A56,benchmark_results[algo],F$30,benchmark_results[n_tracks],$B56,benchmark_results[target_s],$C56,benchmark_results[timed_out],TRUE)=1,"TO",SUMIFS(benchmark_results[runtime_s],benchmark_results[round],$A56,benchmark_results[algo],F$30,benchmark_results[n_tracks],$B56,benchmark_results[target_s],$C56))</f>
        <v>5.9007500007282943E-2</v>
      </c>
      <c r="G56" s="10">
        <f>IF(COUNTIFS(benchmark_results[round],$A56,benchmark_results[algo],G$30,benchmark_results[n_tracks],$B56,benchmark_results[target_s],$C56,benchmark_results[timed_out],TRUE)=1,"TO",SUMIFS(benchmark_results[runtime_s],benchmark_results[round],$A56,benchmark_results[algo],G$30,benchmark_results[n_tracks],$B56,benchmark_results[target_s],$C56))</f>
        <v>1.7951399990124628E-2</v>
      </c>
      <c r="H56" s="19">
        <f t="shared" si="3"/>
        <v>3.2870695343953105</v>
      </c>
      <c r="I56" t="str">
        <f t="shared" si="4"/>
        <v>v4</v>
      </c>
      <c r="J56">
        <f>SUMIFS(benchmark_results[gap_s],benchmark_results[round],$A56,benchmark_results[algo],$F$30,benchmark_results[n_tracks],$B56,benchmark_results[target_s],$C56)</f>
        <v>0</v>
      </c>
      <c r="K56">
        <f>SUMIFS(benchmark_results[gap_s],benchmark_results[round],$A56,benchmark_results[algo],$G$30,benchmark_results[n_tracks],$B56,benchmark_results[target_s],$C56)</f>
        <v>0</v>
      </c>
    </row>
    <row r="57" spans="1:11" x14ac:dyDescent="0.3">
      <c r="A57">
        <f t="shared" si="2"/>
        <v>0</v>
      </c>
      <c r="B57" cm="1">
        <f t="array" ref="B57">INDEX('By Size'!$A$5:$A$10,MOD(ROW()-31,6)+1)</f>
        <v>50</v>
      </c>
      <c r="C57" cm="1">
        <f t="array" ref="C57">INDEX('By Target'!$A$5:$A$9,INT(MOD(ROW()-31,30)/6)+1)</f>
        <v>7200</v>
      </c>
      <c r="D57" s="10">
        <f>IF(COUNTIFS(benchmark_results[round],$A57,benchmark_results[algo],D$30,benchmark_results[n_tracks],$B57,benchmark_results[target_s],$C57,benchmark_results[timed_out],TRUE)=1,"TO",SUMIFS(benchmark_results[runtime_s],benchmark_results[round],$A57,benchmark_results[algo],D$30,benchmark_results[n_tracks],$B57,benchmark_results[target_s],$C57))</f>
        <v>6.7590000980999321E-4</v>
      </c>
      <c r="E57" s="10" t="str">
        <f>IF(COUNTIFS(benchmark_results[round],$A57,benchmark_results[algo],E$30,benchmark_results[n_tracks],$B57,benchmark_results[target_s],$C57,benchmark_results[timed_out],TRUE)=1,"TO",SUMIFS(benchmark_results[runtime_s],benchmark_results[round],$A57,benchmark_results[algo],E$30,benchmark_results[n_tracks],$B57,benchmark_results[target_s],$C57))</f>
        <v>TO</v>
      </c>
      <c r="F57" s="10">
        <f>IF(COUNTIFS(benchmark_results[round],$A57,benchmark_results[algo],F$30,benchmark_results[n_tracks],$B57,benchmark_results[target_s],$C57,benchmark_results[timed_out],TRUE)=1,"TO",SUMIFS(benchmark_results[runtime_s],benchmark_results[round],$A57,benchmark_results[algo],F$30,benchmark_results[n_tracks],$B57,benchmark_results[target_s],$C57))</f>
        <v>0.1771605000103591</v>
      </c>
      <c r="G57" s="10">
        <f>IF(COUNTIFS(benchmark_results[round],$A57,benchmark_results[algo],G$30,benchmark_results[n_tracks],$B57,benchmark_results[target_s],$C57,benchmark_results[timed_out],TRUE)=1,"TO",SUMIFS(benchmark_results[runtime_s],benchmark_results[round],$A57,benchmark_results[algo],G$30,benchmark_results[n_tracks],$B57,benchmark_results[target_s],$C57))</f>
        <v>7.1730299998307601E-2</v>
      </c>
      <c r="H57" s="19">
        <f t="shared" si="3"/>
        <v>2.4698140118546696</v>
      </c>
      <c r="I57" t="str">
        <f t="shared" si="4"/>
        <v>v1</v>
      </c>
      <c r="J57">
        <f>SUMIFS(benchmark_results[gap_s],benchmark_results[round],$A57,benchmark_results[algo],$F$30,benchmark_results[n_tracks],$B57,benchmark_results[target_s],$C57)</f>
        <v>0</v>
      </c>
      <c r="K57">
        <f>SUMIFS(benchmark_results[gap_s],benchmark_results[round],$A57,benchmark_results[algo],$G$30,benchmark_results[n_tracks],$B57,benchmark_results[target_s],$C57)</f>
        <v>0</v>
      </c>
    </row>
    <row r="58" spans="1:11" x14ac:dyDescent="0.3">
      <c r="A58">
        <f t="shared" si="2"/>
        <v>0</v>
      </c>
      <c r="B58" cm="1">
        <f t="array" ref="B58">INDEX('By Size'!$A$5:$A$10,MOD(ROW()-31,6)+1)</f>
        <v>100</v>
      </c>
      <c r="C58" cm="1">
        <f t="array" ref="C58">INDEX('By Target'!$A$5:$A$9,INT(MOD(ROW()-31,30)/6)+1)</f>
        <v>7200</v>
      </c>
      <c r="D58" s="10">
        <f>IF(COUNTIFS(benchmark_results[round],$A58,benchmark_results[algo],D$30,benchmark_results[n_tracks],$B58,benchmark_results[target_s],$C58,benchmark_results[timed_out],TRUE)=1,"TO",SUMIFS(benchmark_results[runtime_s],benchmark_results[round],$A58,benchmark_results[algo],D$30,benchmark_results[n_tracks],$B58,benchmark_results[target_s],$C58))</f>
        <v>4.4299999717622995E-4</v>
      </c>
      <c r="E58" s="10" t="str">
        <f>IF(COUNTIFS(benchmark_results[round],$A58,benchmark_results[algo],E$30,benchmark_results[n_tracks],$B58,benchmark_results[target_s],$C58,benchmark_results[timed_out],TRUE)=1,"TO",SUMIFS(benchmark_results[runtime_s],benchmark_results[round],$A58,benchmark_results[algo],E$30,benchmark_results[n_tracks],$B58,benchmark_results[target_s],$C58))</f>
        <v>TO</v>
      </c>
      <c r="F58" s="10">
        <f>IF(COUNTIFS(benchmark_results[round],$A58,benchmark_results[algo],F$30,benchmark_results[n_tracks],$B58,benchmark_results[target_s],$C58,benchmark_results[timed_out],TRUE)=1,"TO",SUMIFS(benchmark_results[runtime_s],benchmark_results[round],$A58,benchmark_results[algo],F$30,benchmark_results[n_tracks],$B58,benchmark_results[target_s],$C58))</f>
        <v>0.52733779999834951</v>
      </c>
      <c r="G58" s="10">
        <f>IF(COUNTIFS(benchmark_results[round],$A58,benchmark_results[algo],G$30,benchmark_results[n_tracks],$B58,benchmark_results[target_s],$C58,benchmark_results[timed_out],TRUE)=1,"TO",SUMIFS(benchmark_results[runtime_s],benchmark_results[round],$A58,benchmark_results[algo],G$30,benchmark_results[n_tracks],$B58,benchmark_results[target_s],$C58))</f>
        <v>0.19906610000180081</v>
      </c>
      <c r="H58" s="19">
        <f t="shared" si="3"/>
        <v>2.6490587799408289</v>
      </c>
      <c r="I58" t="str">
        <f t="shared" si="4"/>
        <v>v1</v>
      </c>
      <c r="J58">
        <f>SUMIFS(benchmark_results[gap_s],benchmark_results[round],$A58,benchmark_results[algo],$F$30,benchmark_results[n_tracks],$B58,benchmark_results[target_s],$C58)</f>
        <v>0</v>
      </c>
      <c r="K58">
        <f>SUMIFS(benchmark_results[gap_s],benchmark_results[round],$A58,benchmark_results[algo],$G$30,benchmark_results[n_tracks],$B58,benchmark_results[target_s],$C58)</f>
        <v>0</v>
      </c>
    </row>
    <row r="59" spans="1:11" x14ac:dyDescent="0.3">
      <c r="A59">
        <f t="shared" si="2"/>
        <v>0</v>
      </c>
      <c r="B59" cm="1">
        <f t="array" ref="B59">INDEX('By Size'!$A$5:$A$10,MOD(ROW()-31,6)+1)</f>
        <v>200</v>
      </c>
      <c r="C59" cm="1">
        <f t="array" ref="C59">INDEX('By Target'!$A$5:$A$9,INT(MOD(ROW()-31,30)/6)+1)</f>
        <v>7200</v>
      </c>
      <c r="D59" s="10">
        <f>IF(COUNTIFS(benchmark_results[round],$A59,benchmark_results[algo],D$30,benchmark_results[n_tracks],$B59,benchmark_results[target_s],$C59,benchmark_results[timed_out],TRUE)=1,"TO",SUMIFS(benchmark_results[runtime_s],benchmark_results[round],$A59,benchmark_results[algo],D$30,benchmark_results[n_tracks],$B59,benchmark_results[target_s],$C59))</f>
        <v>5.7469999592285603E-4</v>
      </c>
      <c r="E59" s="10" t="str">
        <f>IF(COUNTIFS(benchmark_results[round],$A59,benchmark_results[algo],E$30,benchmark_results[n_tracks],$B59,benchmark_results[target_s],$C59,benchmark_results[timed_out],TRUE)=1,"TO",SUMIFS(benchmark_results[runtime_s],benchmark_results[round],$A59,benchmark_results[algo],E$30,benchmark_results[n_tracks],$B59,benchmark_results[target_s],$C59))</f>
        <v>TO</v>
      </c>
      <c r="F59" s="10">
        <f>IF(COUNTIFS(benchmark_results[round],$A59,benchmark_results[algo],F$30,benchmark_results[n_tracks],$B59,benchmark_results[target_s],$C59,benchmark_results[timed_out],TRUE)=1,"TO",SUMIFS(benchmark_results[runtime_s],benchmark_results[round],$A59,benchmark_results[algo],F$30,benchmark_results[n_tracks],$B59,benchmark_results[target_s],$C59))</f>
        <v>1.3760342000023229</v>
      </c>
      <c r="G59" s="10">
        <f>IF(COUNTIFS(benchmark_results[round],$A59,benchmark_results[algo],G$30,benchmark_results[n_tracks],$B59,benchmark_results[target_s],$C59,benchmark_results[timed_out],TRUE)=1,"TO",SUMIFS(benchmark_results[runtime_s],benchmark_results[round],$A59,benchmark_results[algo],G$30,benchmark_results[n_tracks],$B59,benchmark_results[target_s],$C59))</f>
        <v>0.48365350000676699</v>
      </c>
      <c r="H59" s="19">
        <f t="shared" si="3"/>
        <v>2.8450826882945544</v>
      </c>
      <c r="I59" t="str">
        <f t="shared" si="4"/>
        <v>v1</v>
      </c>
      <c r="J59">
        <f>SUMIFS(benchmark_results[gap_s],benchmark_results[round],$A59,benchmark_results[algo],$F$30,benchmark_results[n_tracks],$B59,benchmark_results[target_s],$C59)</f>
        <v>0</v>
      </c>
      <c r="K59">
        <f>SUMIFS(benchmark_results[gap_s],benchmark_results[round],$A59,benchmark_results[algo],$G$30,benchmark_results[n_tracks],$B59,benchmark_results[target_s],$C59)</f>
        <v>0</v>
      </c>
    </row>
    <row r="60" spans="1:11" x14ac:dyDescent="0.3">
      <c r="A60">
        <f t="shared" si="2"/>
        <v>0</v>
      </c>
      <c r="B60" cm="1">
        <f t="array" ref="B60">INDEX('By Size'!$A$5:$A$10,MOD(ROW()-31,6)+1)</f>
        <v>400</v>
      </c>
      <c r="C60" cm="1">
        <f t="array" ref="C60">INDEX('By Target'!$A$5:$A$9,INT(MOD(ROW()-31,30)/6)+1)</f>
        <v>7200</v>
      </c>
      <c r="D60" s="10">
        <f>IF(COUNTIFS(benchmark_results[round],$A60,benchmark_results[algo],D$30,benchmark_results[n_tracks],$B60,benchmark_results[target_s],$C60,benchmark_results[timed_out],TRUE)=1,"TO",SUMIFS(benchmark_results[runtime_s],benchmark_results[round],$A60,benchmark_results[algo],D$30,benchmark_results[n_tracks],$B60,benchmark_results[target_s],$C60))</f>
        <v>5.9229999897070229E-4</v>
      </c>
      <c r="E60" s="10" t="str">
        <f>IF(COUNTIFS(benchmark_results[round],$A60,benchmark_results[algo],E$30,benchmark_results[n_tracks],$B60,benchmark_results[target_s],$C60,benchmark_results[timed_out],TRUE)=1,"TO",SUMIFS(benchmark_results[runtime_s],benchmark_results[round],$A60,benchmark_results[algo],E$30,benchmark_results[n_tracks],$B60,benchmark_results[target_s],$C60))</f>
        <v>TO</v>
      </c>
      <c r="F60" s="10">
        <f>IF(COUNTIFS(benchmark_results[round],$A60,benchmark_results[algo],F$30,benchmark_results[n_tracks],$B60,benchmark_results[target_s],$C60,benchmark_results[timed_out],TRUE)=1,"TO",SUMIFS(benchmark_results[runtime_s],benchmark_results[round],$A60,benchmark_results[algo],F$30,benchmark_results[n_tracks],$B60,benchmark_results[target_s],$C60))</f>
        <v>3.4430557000014232</v>
      </c>
      <c r="G60" s="10">
        <f>IF(COUNTIFS(benchmark_results[round],$A60,benchmark_results[algo],G$30,benchmark_results[n_tracks],$B60,benchmark_results[target_s],$C60,benchmark_results[timed_out],TRUE)=1,"TO",SUMIFS(benchmark_results[runtime_s],benchmark_results[round],$A60,benchmark_results[algo],G$30,benchmark_results[n_tracks],$B60,benchmark_results[target_s],$C60))</f>
        <v>1.490365000005113</v>
      </c>
      <c r="H60" s="19">
        <f t="shared" si="3"/>
        <v>2.3102097137208744</v>
      </c>
      <c r="I60" t="str">
        <f t="shared" si="4"/>
        <v>v1</v>
      </c>
      <c r="J60">
        <f>SUMIFS(benchmark_results[gap_s],benchmark_results[round],$A60,benchmark_results[algo],$F$30,benchmark_results[n_tracks],$B60,benchmark_results[target_s],$C60)</f>
        <v>0</v>
      </c>
      <c r="K60">
        <f>SUMIFS(benchmark_results[gap_s],benchmark_results[round],$A60,benchmark_results[algo],$G$30,benchmark_results[n_tracks],$B60,benchmark_results[target_s],$C60)</f>
        <v>0</v>
      </c>
    </row>
    <row r="61" spans="1:11" x14ac:dyDescent="0.3">
      <c r="A61">
        <f t="shared" si="2"/>
        <v>1</v>
      </c>
      <c r="B61" cm="1">
        <f t="array" ref="B61">INDEX('By Size'!$A$5:$A$10,MOD(ROW()-31,6)+1)</f>
        <v>10</v>
      </c>
      <c r="C61" cm="1">
        <f t="array" ref="C61">INDEX('By Target'!$A$5:$A$9,INT(MOD(ROW()-31,30)/6)+1)</f>
        <v>300</v>
      </c>
      <c r="D61" s="10" t="str">
        <f>IF(COUNTIFS(benchmark_results[round],$A61,benchmark_results[algo],D$30,benchmark_results[n_tracks],$B61,benchmark_results[target_s],$C61,benchmark_results[timed_out],TRUE)=1,"TO",SUMIFS(benchmark_results[runtime_s],benchmark_results[round],$A61,benchmark_results[algo],D$30,benchmark_results[n_tracks],$B61,benchmark_results[target_s],$C61))</f>
        <v>TO</v>
      </c>
      <c r="E61" s="10">
        <f>IF(COUNTIFS(benchmark_results[round],$A61,benchmark_results[algo],E$30,benchmark_results[n_tracks],$B61,benchmark_results[target_s],$C61,benchmark_results[timed_out],TRUE)=1,"TO",SUMIFS(benchmark_results[runtime_s],benchmark_results[round],$A61,benchmark_results[algo],E$30,benchmark_results[n_tracks],$B61,benchmark_results[target_s],$C61))</f>
        <v>7.9400007962249219E-5</v>
      </c>
      <c r="F61" s="10">
        <f>IF(COUNTIFS(benchmark_results[round],$A61,benchmark_results[algo],F$30,benchmark_results[n_tracks],$B61,benchmark_results[target_s],$C61,benchmark_results[timed_out],TRUE)=1,"TO",SUMIFS(benchmark_results[runtime_s],benchmark_results[round],$A61,benchmark_results[algo],F$30,benchmark_results[n_tracks],$B61,benchmark_results[target_s],$C61))</f>
        <v>4.1499995859339833E-5</v>
      </c>
      <c r="G61" s="10">
        <f>IF(COUNTIFS(benchmark_results[round],$A61,benchmark_results[algo],G$30,benchmark_results[n_tracks],$B61,benchmark_results[target_s],$C61,benchmark_results[timed_out],TRUE)=1,"TO",SUMIFS(benchmark_results[runtime_s],benchmark_results[round],$A61,benchmark_results[algo],G$30,benchmark_results[n_tracks],$B61,benchmark_results[target_s],$C61))</f>
        <v>4.1499995859339833E-5</v>
      </c>
      <c r="H61" s="19">
        <f t="shared" si="3"/>
        <v>1</v>
      </c>
      <c r="I61" t="str">
        <f t="shared" si="4"/>
        <v>v3</v>
      </c>
      <c r="J61">
        <f>SUMIFS(benchmark_results[gap_s],benchmark_results[round],$A61,benchmark_results[algo],$F$30,benchmark_results[n_tracks],$B61,benchmark_results[target_s],$C61)</f>
        <v>14</v>
      </c>
      <c r="K61">
        <f>SUMIFS(benchmark_results[gap_s],benchmark_results[round],$A61,benchmark_results[algo],$G$30,benchmark_results[n_tracks],$B61,benchmark_results[target_s],$C61)</f>
        <v>14</v>
      </c>
    </row>
    <row r="62" spans="1:11" x14ac:dyDescent="0.3">
      <c r="A62">
        <f t="shared" si="2"/>
        <v>1</v>
      </c>
      <c r="B62" cm="1">
        <f t="array" ref="B62">INDEX('By Size'!$A$5:$A$10,MOD(ROW()-31,6)+1)</f>
        <v>30</v>
      </c>
      <c r="C62" cm="1">
        <f t="array" ref="C62">INDEX('By Target'!$A$5:$A$9,INT(MOD(ROW()-31,30)/6)+1)</f>
        <v>300</v>
      </c>
      <c r="D62" s="10" t="str">
        <f>IF(COUNTIFS(benchmark_results[round],$A62,benchmark_results[algo],D$30,benchmark_results[n_tracks],$B62,benchmark_results[target_s],$C62,benchmark_results[timed_out],TRUE)=1,"TO",SUMIFS(benchmark_results[runtime_s],benchmark_results[round],$A62,benchmark_results[algo],D$30,benchmark_results[n_tracks],$B62,benchmark_results[target_s],$C62))</f>
        <v>TO</v>
      </c>
      <c r="E62" s="10">
        <f>IF(COUNTIFS(benchmark_results[round],$A62,benchmark_results[algo],E$30,benchmark_results[n_tracks],$B62,benchmark_results[target_s],$C62,benchmark_results[timed_out],TRUE)=1,"TO",SUMIFS(benchmark_results[runtime_s],benchmark_results[round],$A62,benchmark_results[algo],E$30,benchmark_results[n_tracks],$B62,benchmark_results[target_s],$C62))</f>
        <v>1.8503000028431416E-3</v>
      </c>
      <c r="F62" s="10">
        <f>IF(COUNTIFS(benchmark_results[round],$A62,benchmark_results[algo],F$30,benchmark_results[n_tracks],$B62,benchmark_results[target_s],$C62,benchmark_results[timed_out],TRUE)=1,"TO",SUMIFS(benchmark_results[runtime_s],benchmark_results[round],$A62,benchmark_results[algo],F$30,benchmark_results[n_tracks],$B62,benchmark_results[target_s],$C62))</f>
        <v>1.9279999833088368E-4</v>
      </c>
      <c r="G62" s="10">
        <f>IF(COUNTIFS(benchmark_results[round],$A62,benchmark_results[algo],G$30,benchmark_results[n_tracks],$B62,benchmark_results[target_s],$C62,benchmark_results[timed_out],TRUE)=1,"TO",SUMIFS(benchmark_results[runtime_s],benchmark_results[round],$A62,benchmark_results[algo],G$30,benchmark_results[n_tracks],$B62,benchmark_results[target_s],$C62))</f>
        <v>2.0719999156426638E-4</v>
      </c>
      <c r="H62" s="19">
        <f t="shared" si="3"/>
        <v>0.9305019603298762</v>
      </c>
      <c r="I62" t="str">
        <f t="shared" si="4"/>
        <v>v3</v>
      </c>
      <c r="J62">
        <f>SUMIFS(benchmark_results[gap_s],benchmark_results[round],$A62,benchmark_results[algo],$F$30,benchmark_results[n_tracks],$B62,benchmark_results[target_s],$C62)</f>
        <v>1</v>
      </c>
      <c r="K62">
        <f>SUMIFS(benchmark_results[gap_s],benchmark_results[round],$A62,benchmark_results[algo],$G$30,benchmark_results[n_tracks],$B62,benchmark_results[target_s],$C62)</f>
        <v>1</v>
      </c>
    </row>
    <row r="63" spans="1:11" x14ac:dyDescent="0.3">
      <c r="A63">
        <f t="shared" si="2"/>
        <v>1</v>
      </c>
      <c r="B63" cm="1">
        <f t="array" ref="B63">INDEX('By Size'!$A$5:$A$10,MOD(ROW()-31,6)+1)</f>
        <v>50</v>
      </c>
      <c r="C63" cm="1">
        <f t="array" ref="C63">INDEX('By Target'!$A$5:$A$9,INT(MOD(ROW()-31,30)/6)+1)</f>
        <v>300</v>
      </c>
      <c r="D63" s="10" t="str">
        <f>IF(COUNTIFS(benchmark_results[round],$A63,benchmark_results[algo],D$30,benchmark_results[n_tracks],$B63,benchmark_results[target_s],$C63,benchmark_results[timed_out],TRUE)=1,"TO",SUMIFS(benchmark_results[runtime_s],benchmark_results[round],$A63,benchmark_results[algo],D$30,benchmark_results[n_tracks],$B63,benchmark_results[target_s],$C63))</f>
        <v>TO</v>
      </c>
      <c r="E63" s="10">
        <f>IF(COUNTIFS(benchmark_results[round],$A63,benchmark_results[algo],E$30,benchmark_results[n_tracks],$B63,benchmark_results[target_s],$C63,benchmark_results[timed_out],TRUE)=1,"TO",SUMIFS(benchmark_results[runtime_s],benchmark_results[round],$A63,benchmark_results[algo],E$30,benchmark_results[n_tracks],$B63,benchmark_results[target_s],$C63))</f>
        <v>6.5621000103419647E-3</v>
      </c>
      <c r="F63" s="10">
        <f>IF(COUNTIFS(benchmark_results[round],$A63,benchmark_results[algo],F$30,benchmark_results[n_tracks],$B63,benchmark_results[target_s],$C63,benchmark_results[timed_out],TRUE)=1,"TO",SUMIFS(benchmark_results[runtime_s],benchmark_results[round],$A63,benchmark_results[algo],F$30,benchmark_results[n_tracks],$B63,benchmark_results[target_s],$C63))</f>
        <v>3.958999877795577E-4</v>
      </c>
      <c r="G63" s="10">
        <f>IF(COUNTIFS(benchmark_results[round],$A63,benchmark_results[algo],G$30,benchmark_results[n_tracks],$B63,benchmark_results[target_s],$C63,benchmark_results[timed_out],TRUE)=1,"TO",SUMIFS(benchmark_results[runtime_s],benchmark_results[round],$A63,benchmark_results[algo],G$30,benchmark_results[n_tracks],$B63,benchmark_results[target_s],$C63))</f>
        <v>3.2110000029206276E-4</v>
      </c>
      <c r="H63" s="19">
        <f t="shared" si="3"/>
        <v>1.2329491978183094</v>
      </c>
      <c r="I63" t="str">
        <f t="shared" si="4"/>
        <v>v4</v>
      </c>
      <c r="J63">
        <f>SUMIFS(benchmark_results[gap_s],benchmark_results[round],$A63,benchmark_results[algo],$F$30,benchmark_results[n_tracks],$B63,benchmark_results[target_s],$C63)</f>
        <v>0</v>
      </c>
      <c r="K63">
        <f>SUMIFS(benchmark_results[gap_s],benchmark_results[round],$A63,benchmark_results[algo],$G$30,benchmark_results[n_tracks],$B63,benchmark_results[target_s],$C63)</f>
        <v>0</v>
      </c>
    </row>
    <row r="64" spans="1:11" x14ac:dyDescent="0.3">
      <c r="A64">
        <f t="shared" si="2"/>
        <v>1</v>
      </c>
      <c r="B64" cm="1">
        <f t="array" ref="B64">INDEX('By Size'!$A$5:$A$10,MOD(ROW()-31,6)+1)</f>
        <v>100</v>
      </c>
      <c r="C64" cm="1">
        <f t="array" ref="C64">INDEX('By Target'!$A$5:$A$9,INT(MOD(ROW()-31,30)/6)+1)</f>
        <v>300</v>
      </c>
      <c r="D64" s="10">
        <f>IF(COUNTIFS(benchmark_results[round],$A64,benchmark_results[algo],D$30,benchmark_results[n_tracks],$B64,benchmark_results[target_s],$C64,benchmark_results[timed_out],TRUE)=1,"TO",SUMIFS(benchmark_results[runtime_s],benchmark_results[round],$A64,benchmark_results[algo],D$30,benchmark_results[n_tracks],$B64,benchmark_results[target_s],$C64))</f>
        <v>7.2189999627880752E-4</v>
      </c>
      <c r="E64" s="10">
        <f>IF(COUNTIFS(benchmark_results[round],$A64,benchmark_results[algo],E$30,benchmark_results[n_tracks],$B64,benchmark_results[target_s],$C64,benchmark_results[timed_out],TRUE)=1,"TO",SUMIFS(benchmark_results[runtime_s],benchmark_results[round],$A64,benchmark_results[algo],E$30,benchmark_results[n_tracks],$B64,benchmark_results[target_s],$C64))</f>
        <v>0.35812770000484306</v>
      </c>
      <c r="F64" s="10">
        <f>IF(COUNTIFS(benchmark_results[round],$A64,benchmark_results[algo],F$30,benchmark_results[n_tracks],$B64,benchmark_results[target_s],$C64,benchmark_results[timed_out],TRUE)=1,"TO",SUMIFS(benchmark_results[runtime_s],benchmark_results[round],$A64,benchmark_results[algo],F$30,benchmark_results[n_tracks],$B64,benchmark_results[target_s],$C64))</f>
        <v>2.2126999974716455E-3</v>
      </c>
      <c r="G64" s="10">
        <f>IF(COUNTIFS(benchmark_results[round],$A64,benchmark_results[algo],G$30,benchmark_results[n_tracks],$B64,benchmark_results[target_s],$C64,benchmark_results[timed_out],TRUE)=1,"TO",SUMIFS(benchmark_results[runtime_s],benchmark_results[round],$A64,benchmark_results[algo],G$30,benchmark_results[n_tracks],$B64,benchmark_results[target_s],$C64))</f>
        <v>1.487400004407391E-3</v>
      </c>
      <c r="H64" s="19">
        <f t="shared" si="3"/>
        <v>1.4876294143573221</v>
      </c>
      <c r="I64" t="str">
        <f t="shared" si="4"/>
        <v>v1</v>
      </c>
      <c r="J64">
        <f>SUMIFS(benchmark_results[gap_s],benchmark_results[round],$A64,benchmark_results[algo],$F$30,benchmark_results[n_tracks],$B64,benchmark_results[target_s],$C64)</f>
        <v>0</v>
      </c>
      <c r="K64">
        <f>SUMIFS(benchmark_results[gap_s],benchmark_results[round],$A64,benchmark_results[algo],$G$30,benchmark_results[n_tracks],$B64,benchmark_results[target_s],$C64)</f>
        <v>0</v>
      </c>
    </row>
    <row r="65" spans="1:11" x14ac:dyDescent="0.3">
      <c r="A65">
        <f t="shared" si="2"/>
        <v>1</v>
      </c>
      <c r="B65" cm="1">
        <f t="array" ref="B65">INDEX('By Size'!$A$5:$A$10,MOD(ROW()-31,6)+1)</f>
        <v>200</v>
      </c>
      <c r="C65" cm="1">
        <f t="array" ref="C65">INDEX('By Target'!$A$5:$A$9,INT(MOD(ROW()-31,30)/6)+1)</f>
        <v>300</v>
      </c>
      <c r="D65" s="10">
        <f>IF(COUNTIFS(benchmark_results[round],$A65,benchmark_results[algo],D$30,benchmark_results[n_tracks],$B65,benchmark_results[target_s],$C65,benchmark_results[timed_out],TRUE)=1,"TO",SUMIFS(benchmark_results[runtime_s],benchmark_results[round],$A65,benchmark_results[algo],D$30,benchmark_results[n_tracks],$B65,benchmark_results[target_s],$C65))</f>
        <v>2.3300001339521259E-4</v>
      </c>
      <c r="E65" s="10" t="str">
        <f>IF(COUNTIFS(benchmark_results[round],$A65,benchmark_results[algo],E$30,benchmark_results[n_tracks],$B65,benchmark_results[target_s],$C65,benchmark_results[timed_out],TRUE)=1,"TO",SUMIFS(benchmark_results[runtime_s],benchmark_results[round],$A65,benchmark_results[algo],E$30,benchmark_results[n_tracks],$B65,benchmark_results[target_s],$C65))</f>
        <v>TO</v>
      </c>
      <c r="F65" s="10">
        <f>IF(COUNTIFS(benchmark_results[round],$A65,benchmark_results[algo],F$30,benchmark_results[n_tracks],$B65,benchmark_results[target_s],$C65,benchmark_results[timed_out],TRUE)=1,"TO",SUMIFS(benchmark_results[runtime_s],benchmark_results[round],$A65,benchmark_results[algo],F$30,benchmark_results[n_tracks],$B65,benchmark_results[target_s],$C65))</f>
        <v>6.8945999955758452E-3</v>
      </c>
      <c r="G65" s="10">
        <f>IF(COUNTIFS(benchmark_results[round],$A65,benchmark_results[algo],G$30,benchmark_results[n_tracks],$B65,benchmark_results[target_s],$C65,benchmark_results[timed_out],TRUE)=1,"TO",SUMIFS(benchmark_results[runtime_s],benchmark_results[round],$A65,benchmark_results[algo],G$30,benchmark_results[n_tracks],$B65,benchmark_results[target_s],$C65))</f>
        <v>5.2819999982602894E-3</v>
      </c>
      <c r="H65" s="19">
        <f t="shared" si="3"/>
        <v>1.3053010219323535</v>
      </c>
      <c r="I65" t="str">
        <f t="shared" si="4"/>
        <v>v1</v>
      </c>
      <c r="J65">
        <f>SUMIFS(benchmark_results[gap_s],benchmark_results[round],$A65,benchmark_results[algo],$F$30,benchmark_results[n_tracks],$B65,benchmark_results[target_s],$C65)</f>
        <v>0</v>
      </c>
      <c r="K65">
        <f>SUMIFS(benchmark_results[gap_s],benchmark_results[round],$A65,benchmark_results[algo],$G$30,benchmark_results[n_tracks],$B65,benchmark_results[target_s],$C65)</f>
        <v>0</v>
      </c>
    </row>
    <row r="66" spans="1:11" x14ac:dyDescent="0.3">
      <c r="A66">
        <f t="shared" si="2"/>
        <v>1</v>
      </c>
      <c r="B66" cm="1">
        <f t="array" ref="B66">INDEX('By Size'!$A$5:$A$10,MOD(ROW()-31,6)+1)</f>
        <v>400</v>
      </c>
      <c r="C66" cm="1">
        <f t="array" ref="C66">INDEX('By Target'!$A$5:$A$9,INT(MOD(ROW()-31,30)/6)+1)</f>
        <v>300</v>
      </c>
      <c r="D66" s="10" t="str">
        <f>IF(COUNTIFS(benchmark_results[round],$A66,benchmark_results[algo],D$30,benchmark_results[n_tracks],$B66,benchmark_results[target_s],$C66,benchmark_results[timed_out],TRUE)=1,"TO",SUMIFS(benchmark_results[runtime_s],benchmark_results[round],$A66,benchmark_results[algo],D$30,benchmark_results[n_tracks],$B66,benchmark_results[target_s],$C66))</f>
        <v>TO</v>
      </c>
      <c r="E66" s="10" t="str">
        <f>IF(COUNTIFS(benchmark_results[round],$A66,benchmark_results[algo],E$30,benchmark_results[n_tracks],$B66,benchmark_results[target_s],$C66,benchmark_results[timed_out],TRUE)=1,"TO",SUMIFS(benchmark_results[runtime_s],benchmark_results[round],$A66,benchmark_results[algo],E$30,benchmark_results[n_tracks],$B66,benchmark_results[target_s],$C66))</f>
        <v>TO</v>
      </c>
      <c r="F66" s="10">
        <f>IF(COUNTIFS(benchmark_results[round],$A66,benchmark_results[algo],F$30,benchmark_results[n_tracks],$B66,benchmark_results[target_s],$C66,benchmark_results[timed_out],TRUE)=1,"TO",SUMIFS(benchmark_results[runtime_s],benchmark_results[round],$A66,benchmark_results[algo],F$30,benchmark_results[n_tracks],$B66,benchmark_results[target_s],$C66))</f>
        <v>2.1353799995267764E-2</v>
      </c>
      <c r="G66" s="10">
        <f>IF(COUNTIFS(benchmark_results[round],$A66,benchmark_results[algo],G$30,benchmark_results[n_tracks],$B66,benchmark_results[target_s],$C66,benchmark_results[timed_out],TRUE)=1,"TO",SUMIFS(benchmark_results[runtime_s],benchmark_results[round],$A66,benchmark_results[algo],G$30,benchmark_results[n_tracks],$B66,benchmark_results[target_s],$C66))</f>
        <v>1.0900000008405186E-2</v>
      </c>
      <c r="H66" s="19">
        <f t="shared" si="3"/>
        <v>1.9590642182386664</v>
      </c>
      <c r="I66" t="str">
        <f t="shared" si="4"/>
        <v>v4</v>
      </c>
      <c r="J66">
        <f>SUMIFS(benchmark_results[gap_s],benchmark_results[round],$A66,benchmark_results[algo],$F$30,benchmark_results[n_tracks],$B66,benchmark_results[target_s],$C66)</f>
        <v>0</v>
      </c>
      <c r="K66">
        <f>SUMIFS(benchmark_results[gap_s],benchmark_results[round],$A66,benchmark_results[algo],$G$30,benchmark_results[n_tracks],$B66,benchmark_results[target_s],$C66)</f>
        <v>0</v>
      </c>
    </row>
    <row r="67" spans="1:11" x14ac:dyDescent="0.3">
      <c r="A67">
        <f t="shared" si="2"/>
        <v>1</v>
      </c>
      <c r="B67" cm="1">
        <f t="array" ref="B67">INDEX('By Size'!$A$5:$A$10,MOD(ROW()-31,6)+1)</f>
        <v>10</v>
      </c>
      <c r="C67" cm="1">
        <f t="array" ref="C67">INDEX('By Target'!$A$5:$A$9,INT(MOD(ROW()-31,30)/6)+1)</f>
        <v>600</v>
      </c>
      <c r="D67" s="10" t="str">
        <f>IF(COUNTIFS(benchmark_results[round],$A67,benchmark_results[algo],D$30,benchmark_results[n_tracks],$B67,benchmark_results[target_s],$C67,benchmark_results[timed_out],TRUE)=1,"TO",SUMIFS(benchmark_results[runtime_s],benchmark_results[round],$A67,benchmark_results[algo],D$30,benchmark_results[n_tracks],$B67,benchmark_results[target_s],$C67))</f>
        <v>TO</v>
      </c>
      <c r="E67" s="10">
        <f>IF(COUNTIFS(benchmark_results[round],$A67,benchmark_results[algo],E$30,benchmark_results[n_tracks],$B67,benchmark_results[target_s],$C67,benchmark_results[timed_out],TRUE)=1,"TO",SUMIFS(benchmark_results[runtime_s],benchmark_results[round],$A67,benchmark_results[algo],E$30,benchmark_results[n_tracks],$B67,benchmark_results[target_s],$C67))</f>
        <v>1.2710000737570226E-4</v>
      </c>
      <c r="F67" s="10">
        <f>IF(COUNTIFS(benchmark_results[round],$A67,benchmark_results[algo],F$30,benchmark_results[n_tracks],$B67,benchmark_results[target_s],$C67,benchmark_results[timed_out],TRUE)=1,"TO",SUMIFS(benchmark_results[runtime_s],benchmark_results[round],$A67,benchmark_results[algo],F$30,benchmark_results[n_tracks],$B67,benchmark_results[target_s],$C67))</f>
        <v>8.3400009316392243E-5</v>
      </c>
      <c r="G67" s="10">
        <f>IF(COUNTIFS(benchmark_results[round],$A67,benchmark_results[algo],G$30,benchmark_results[n_tracks],$B67,benchmark_results[target_s],$C67,benchmark_results[timed_out],TRUE)=1,"TO",SUMIFS(benchmark_results[runtime_s],benchmark_results[round],$A67,benchmark_results[algo],G$30,benchmark_results[n_tracks],$B67,benchmark_results[target_s],$C67))</f>
        <v>8.250000246334821E-5</v>
      </c>
      <c r="H67" s="19">
        <f t="shared" si="3"/>
        <v>1.0109091736505569</v>
      </c>
      <c r="I67" t="str">
        <f t="shared" si="4"/>
        <v>v4</v>
      </c>
      <c r="J67">
        <f>SUMIFS(benchmark_results[gap_s],benchmark_results[round],$A67,benchmark_results[algo],$F$30,benchmark_results[n_tracks],$B67,benchmark_results[target_s],$C67)</f>
        <v>7</v>
      </c>
      <c r="K67">
        <f>SUMIFS(benchmark_results[gap_s],benchmark_results[round],$A67,benchmark_results[algo],$G$30,benchmark_results[n_tracks],$B67,benchmark_results[target_s],$C67)</f>
        <v>7</v>
      </c>
    </row>
    <row r="68" spans="1:11" x14ac:dyDescent="0.3">
      <c r="A68">
        <f t="shared" si="2"/>
        <v>1</v>
      </c>
      <c r="B68" cm="1">
        <f t="array" ref="B68">INDEX('By Size'!$A$5:$A$10,MOD(ROW()-31,6)+1)</f>
        <v>30</v>
      </c>
      <c r="C68" cm="1">
        <f t="array" ref="C68">INDEX('By Target'!$A$5:$A$9,INT(MOD(ROW()-31,30)/6)+1)</f>
        <v>600</v>
      </c>
      <c r="D68" s="10" t="str">
        <f>IF(COUNTIFS(benchmark_results[round],$A68,benchmark_results[algo],D$30,benchmark_results[n_tracks],$B68,benchmark_results[target_s],$C68,benchmark_results[timed_out],TRUE)=1,"TO",SUMIFS(benchmark_results[runtime_s],benchmark_results[round],$A68,benchmark_results[algo],D$30,benchmark_results[n_tracks],$B68,benchmark_results[target_s],$C68))</f>
        <v>TO</v>
      </c>
      <c r="E68" s="10">
        <f>IF(COUNTIFS(benchmark_results[round],$A68,benchmark_results[algo],E$30,benchmark_results[n_tracks],$B68,benchmark_results[target_s],$C68,benchmark_results[timed_out],TRUE)=1,"TO",SUMIFS(benchmark_results[runtime_s],benchmark_results[round],$A68,benchmark_results[algo],E$30,benchmark_results[n_tracks],$B68,benchmark_results[target_s],$C68))</f>
        <v>1.7977800001972355E-2</v>
      </c>
      <c r="F68" s="10">
        <f>IF(COUNTIFS(benchmark_results[round],$A68,benchmark_results[algo],F$30,benchmark_results[n_tracks],$B68,benchmark_results[target_s],$C68,benchmark_results[timed_out],TRUE)=1,"TO",SUMIFS(benchmark_results[runtime_s],benchmark_results[round],$A68,benchmark_results[algo],F$30,benchmark_results[n_tracks],$B68,benchmark_results[target_s],$C68))</f>
        <v>3.0192999984137714E-3</v>
      </c>
      <c r="G68" s="10">
        <f>IF(COUNTIFS(benchmark_results[round],$A68,benchmark_results[algo],G$30,benchmark_results[n_tracks],$B68,benchmark_results[target_s],$C68,benchmark_results[timed_out],TRUE)=1,"TO",SUMIFS(benchmark_results[runtime_s],benchmark_results[round],$A68,benchmark_results[algo],G$30,benchmark_results[n_tracks],$B68,benchmark_results[target_s],$C68))</f>
        <v>9.0190001355949789E-4</v>
      </c>
      <c r="H68" s="19">
        <f t="shared" si="3"/>
        <v>3.3477103370889236</v>
      </c>
      <c r="I68" t="str">
        <f t="shared" si="4"/>
        <v>v4</v>
      </c>
      <c r="J68">
        <f>SUMIFS(benchmark_results[gap_s],benchmark_results[round],$A68,benchmark_results[algo],$F$30,benchmark_results[n_tracks],$B68,benchmark_results[target_s],$C68)</f>
        <v>0</v>
      </c>
      <c r="K68">
        <f>SUMIFS(benchmark_results[gap_s],benchmark_results[round],$A68,benchmark_results[algo],$G$30,benchmark_results[n_tracks],$B68,benchmark_results[target_s],$C68)</f>
        <v>0</v>
      </c>
    </row>
    <row r="69" spans="1:11" x14ac:dyDescent="0.3">
      <c r="A69">
        <f t="shared" si="2"/>
        <v>1</v>
      </c>
      <c r="B69" cm="1">
        <f t="array" ref="B69">INDEX('By Size'!$A$5:$A$10,MOD(ROW()-31,6)+1)</f>
        <v>50</v>
      </c>
      <c r="C69" cm="1">
        <f t="array" ref="C69">INDEX('By Target'!$A$5:$A$9,INT(MOD(ROW()-31,30)/6)+1)</f>
        <v>600</v>
      </c>
      <c r="D69" s="10">
        <f>IF(COUNTIFS(benchmark_results[round],$A69,benchmark_results[algo],D$30,benchmark_results[n_tracks],$B69,benchmark_results[target_s],$C69,benchmark_results[timed_out],TRUE)=1,"TO",SUMIFS(benchmark_results[runtime_s],benchmark_results[round],$A69,benchmark_results[algo],D$30,benchmark_results[n_tracks],$B69,benchmark_results[target_s],$C69))</f>
        <v>9.7769999410957098E-4</v>
      </c>
      <c r="E69" s="10">
        <f>IF(COUNTIFS(benchmark_results[round],$A69,benchmark_results[algo],E$30,benchmark_results[n_tracks],$B69,benchmark_results[target_s],$C69,benchmark_results[timed_out],TRUE)=1,"TO",SUMIFS(benchmark_results[runtime_s],benchmark_results[round],$A69,benchmark_results[algo],E$30,benchmark_results[n_tracks],$B69,benchmark_results[target_s],$C69))</f>
        <v>0.81028479999804404</v>
      </c>
      <c r="F69" s="10">
        <f>IF(COUNTIFS(benchmark_results[round],$A69,benchmark_results[algo],F$30,benchmark_results[n_tracks],$B69,benchmark_results[target_s],$C69,benchmark_results[timed_out],TRUE)=1,"TO",SUMIFS(benchmark_results[runtime_s],benchmark_results[round],$A69,benchmark_results[algo],F$30,benchmark_results[n_tracks],$B69,benchmark_results[target_s],$C69))</f>
        <v>3.5331999970367178E-3</v>
      </c>
      <c r="G69" s="10">
        <f>IF(COUNTIFS(benchmark_results[round],$A69,benchmark_results[algo],G$30,benchmark_results[n_tracks],$B69,benchmark_results[target_s],$C69,benchmark_results[timed_out],TRUE)=1,"TO",SUMIFS(benchmark_results[runtime_s],benchmark_results[round],$A69,benchmark_results[algo],G$30,benchmark_results[n_tracks],$B69,benchmark_results[target_s],$C69))</f>
        <v>1.9865999929606915E-3</v>
      </c>
      <c r="H69" s="19">
        <f t="shared" si="3"/>
        <v>1.7785160623961749</v>
      </c>
      <c r="I69" t="str">
        <f t="shared" si="4"/>
        <v>v1</v>
      </c>
      <c r="J69">
        <f>SUMIFS(benchmark_results[gap_s],benchmark_results[round],$A69,benchmark_results[algo],$F$30,benchmark_results[n_tracks],$B69,benchmark_results[target_s],$C69)</f>
        <v>0</v>
      </c>
      <c r="K69">
        <f>SUMIFS(benchmark_results[gap_s],benchmark_results[round],$A69,benchmark_results[algo],$G$30,benchmark_results[n_tracks],$B69,benchmark_results[target_s],$C69)</f>
        <v>0</v>
      </c>
    </row>
    <row r="70" spans="1:11" x14ac:dyDescent="0.3">
      <c r="A70">
        <f t="shared" si="2"/>
        <v>1</v>
      </c>
      <c r="B70" cm="1">
        <f t="array" ref="B70">INDEX('By Size'!$A$5:$A$10,MOD(ROW()-31,6)+1)</f>
        <v>100</v>
      </c>
      <c r="C70" cm="1">
        <f t="array" ref="C70">INDEX('By Target'!$A$5:$A$9,INT(MOD(ROW()-31,30)/6)+1)</f>
        <v>600</v>
      </c>
      <c r="D70" s="10">
        <f>IF(COUNTIFS(benchmark_results[round],$A70,benchmark_results[algo],D$30,benchmark_results[n_tracks],$B70,benchmark_results[target_s],$C70,benchmark_results[timed_out],TRUE)=1,"TO",SUMIFS(benchmark_results[runtime_s],benchmark_results[round],$A70,benchmark_results[algo],D$30,benchmark_results[n_tracks],$B70,benchmark_results[target_s],$C70))</f>
        <v>2.1616999874822795E-3</v>
      </c>
      <c r="E70" s="10" t="str">
        <f>IF(COUNTIFS(benchmark_results[round],$A70,benchmark_results[algo],E$30,benchmark_results[n_tracks],$B70,benchmark_results[target_s],$C70,benchmark_results[timed_out],TRUE)=1,"TO",SUMIFS(benchmark_results[runtime_s],benchmark_results[round],$A70,benchmark_results[algo],E$30,benchmark_results[n_tracks],$B70,benchmark_results[target_s],$C70))</f>
        <v>TO</v>
      </c>
      <c r="F70" s="10">
        <f>IF(COUNTIFS(benchmark_results[round],$A70,benchmark_results[algo],F$30,benchmark_results[n_tracks],$B70,benchmark_results[target_s],$C70,benchmark_results[timed_out],TRUE)=1,"TO",SUMIFS(benchmark_results[runtime_s],benchmark_results[round],$A70,benchmark_results[algo],F$30,benchmark_results[n_tracks],$B70,benchmark_results[target_s],$C70))</f>
        <v>1.1401800002204254E-2</v>
      </c>
      <c r="G70" s="10">
        <f>IF(COUNTIFS(benchmark_results[round],$A70,benchmark_results[algo],G$30,benchmark_results[n_tracks],$B70,benchmark_results[target_s],$C70,benchmark_results[timed_out],TRUE)=1,"TO",SUMIFS(benchmark_results[runtime_s],benchmark_results[round],$A70,benchmark_results[algo],G$30,benchmark_results[n_tracks],$B70,benchmark_results[target_s],$C70))</f>
        <v>5.0871999992523342E-3</v>
      </c>
      <c r="H70" s="19">
        <f t="shared" si="3"/>
        <v>2.24127221337474</v>
      </c>
      <c r="I70" t="str">
        <f t="shared" si="4"/>
        <v>v1</v>
      </c>
      <c r="J70">
        <f>SUMIFS(benchmark_results[gap_s],benchmark_results[round],$A70,benchmark_results[algo],$F$30,benchmark_results[n_tracks],$B70,benchmark_results[target_s],$C70)</f>
        <v>0</v>
      </c>
      <c r="K70">
        <f>SUMIFS(benchmark_results[gap_s],benchmark_results[round],$A70,benchmark_results[algo],$G$30,benchmark_results[n_tracks],$B70,benchmark_results[target_s],$C70)</f>
        <v>0</v>
      </c>
    </row>
    <row r="71" spans="1:11" x14ac:dyDescent="0.3">
      <c r="A71">
        <f t="shared" si="2"/>
        <v>1</v>
      </c>
      <c r="B71" cm="1">
        <f t="array" ref="B71">INDEX('By Size'!$A$5:$A$10,MOD(ROW()-31,6)+1)</f>
        <v>200</v>
      </c>
      <c r="C71" cm="1">
        <f t="array" ref="C71">INDEX('By Target'!$A$5:$A$9,INT(MOD(ROW()-31,30)/6)+1)</f>
        <v>600</v>
      </c>
      <c r="D71" s="10">
        <f>IF(COUNTIFS(benchmark_results[round],$A71,benchmark_results[algo],D$30,benchmark_results[n_tracks],$B71,benchmark_results[target_s],$C71,benchmark_results[timed_out],TRUE)=1,"TO",SUMIFS(benchmark_results[runtime_s],benchmark_results[round],$A71,benchmark_results[algo],D$30,benchmark_results[n_tracks],$B71,benchmark_results[target_s],$C71))</f>
        <v>1.9859999883919954E-4</v>
      </c>
      <c r="E71" s="10" t="str">
        <f>IF(COUNTIFS(benchmark_results[round],$A71,benchmark_results[algo],E$30,benchmark_results[n_tracks],$B71,benchmark_results[target_s],$C71,benchmark_results[timed_out],TRUE)=1,"TO",SUMIFS(benchmark_results[runtime_s],benchmark_results[round],$A71,benchmark_results[algo],E$30,benchmark_results[n_tracks],$B71,benchmark_results[target_s],$C71))</f>
        <v>TO</v>
      </c>
      <c r="F71" s="10">
        <f>IF(COUNTIFS(benchmark_results[round],$A71,benchmark_results[algo],F$30,benchmark_results[n_tracks],$B71,benchmark_results[target_s],$C71,benchmark_results[timed_out],TRUE)=1,"TO",SUMIFS(benchmark_results[runtime_s],benchmark_results[round],$A71,benchmark_results[algo],F$30,benchmark_results[n_tracks],$B71,benchmark_results[target_s],$C71))</f>
        <v>2.8897099997266196E-2</v>
      </c>
      <c r="G71" s="10">
        <f>IF(COUNTIFS(benchmark_results[round],$A71,benchmark_results[algo],G$30,benchmark_results[n_tracks],$B71,benchmark_results[target_s],$C71,benchmark_results[timed_out],TRUE)=1,"TO",SUMIFS(benchmark_results[runtime_s],benchmark_results[round],$A71,benchmark_results[algo],G$30,benchmark_results[n_tracks],$B71,benchmark_results[target_s],$C71))</f>
        <v>1.072829999611713E-2</v>
      </c>
      <c r="H71" s="19">
        <f t="shared" si="3"/>
        <v>2.693539517698504</v>
      </c>
      <c r="I71" t="str">
        <f t="shared" si="4"/>
        <v>v1</v>
      </c>
      <c r="J71">
        <f>SUMIFS(benchmark_results[gap_s],benchmark_results[round],$A71,benchmark_results[algo],$F$30,benchmark_results[n_tracks],$B71,benchmark_results[target_s],$C71)</f>
        <v>0</v>
      </c>
      <c r="K71">
        <f>SUMIFS(benchmark_results[gap_s],benchmark_results[round],$A71,benchmark_results[algo],$G$30,benchmark_results[n_tracks],$B71,benchmark_results[target_s],$C71)</f>
        <v>0</v>
      </c>
    </row>
    <row r="72" spans="1:11" x14ac:dyDescent="0.3">
      <c r="A72">
        <f t="shared" si="2"/>
        <v>1</v>
      </c>
      <c r="B72" cm="1">
        <f t="array" ref="B72">INDEX('By Size'!$A$5:$A$10,MOD(ROW()-31,6)+1)</f>
        <v>400</v>
      </c>
      <c r="C72" cm="1">
        <f t="array" ref="C72">INDEX('By Target'!$A$5:$A$9,INT(MOD(ROW()-31,30)/6)+1)</f>
        <v>600</v>
      </c>
      <c r="D72" s="10">
        <f>IF(COUNTIFS(benchmark_results[round],$A72,benchmark_results[algo],D$30,benchmark_results[n_tracks],$B72,benchmark_results[target_s],$C72,benchmark_results[timed_out],TRUE)=1,"TO",SUMIFS(benchmark_results[runtime_s],benchmark_results[round],$A72,benchmark_results[algo],D$30,benchmark_results[n_tracks],$B72,benchmark_results[target_s],$C72))</f>
        <v>4.3220000225119293E-4</v>
      </c>
      <c r="E72" s="10" t="str">
        <f>IF(COUNTIFS(benchmark_results[round],$A72,benchmark_results[algo],E$30,benchmark_results[n_tracks],$B72,benchmark_results[target_s],$C72,benchmark_results[timed_out],TRUE)=1,"TO",SUMIFS(benchmark_results[runtime_s],benchmark_results[round],$A72,benchmark_results[algo],E$30,benchmark_results[n_tracks],$B72,benchmark_results[target_s],$C72))</f>
        <v>TO</v>
      </c>
      <c r="F72" s="10">
        <f>IF(COUNTIFS(benchmark_results[round],$A72,benchmark_results[algo],F$30,benchmark_results[n_tracks],$B72,benchmark_results[target_s],$C72,benchmark_results[timed_out],TRUE)=1,"TO",SUMIFS(benchmark_results[runtime_s],benchmark_results[round],$A72,benchmark_results[algo],F$30,benchmark_results[n_tracks],$B72,benchmark_results[target_s],$C72))</f>
        <v>7.4662000013631769E-2</v>
      </c>
      <c r="G72" s="10">
        <f>IF(COUNTIFS(benchmark_results[round],$A72,benchmark_results[algo],G$30,benchmark_results[n_tracks],$B72,benchmark_results[target_s],$C72,benchmark_results[timed_out],TRUE)=1,"TO",SUMIFS(benchmark_results[runtime_s],benchmark_results[round],$A72,benchmark_results[algo],G$30,benchmark_results[n_tracks],$B72,benchmark_results[target_s],$C72))</f>
        <v>3.0792199991992675E-2</v>
      </c>
      <c r="H72" s="19">
        <f t="shared" si="3"/>
        <v>2.424704958822272</v>
      </c>
      <c r="I72" t="str">
        <f t="shared" si="4"/>
        <v>v1</v>
      </c>
      <c r="J72">
        <f>SUMIFS(benchmark_results[gap_s],benchmark_results[round],$A72,benchmark_results[algo],$F$30,benchmark_results[n_tracks],$B72,benchmark_results[target_s],$C72)</f>
        <v>0</v>
      </c>
      <c r="K72">
        <f>SUMIFS(benchmark_results[gap_s],benchmark_results[round],$A72,benchmark_results[algo],$G$30,benchmark_results[n_tracks],$B72,benchmark_results[target_s],$C72)</f>
        <v>0</v>
      </c>
    </row>
    <row r="73" spans="1:11" x14ac:dyDescent="0.3">
      <c r="A73">
        <f t="shared" si="2"/>
        <v>1</v>
      </c>
      <c r="B73" cm="1">
        <f t="array" ref="B73">INDEX('By Size'!$A$5:$A$10,MOD(ROW()-31,6)+1)</f>
        <v>10</v>
      </c>
      <c r="C73" cm="1">
        <f t="array" ref="C73">INDEX('By Target'!$A$5:$A$9,INT(MOD(ROW()-31,30)/6)+1)</f>
        <v>1200</v>
      </c>
      <c r="D73" s="10" t="str">
        <f>IF(COUNTIFS(benchmark_results[round],$A73,benchmark_results[algo],D$30,benchmark_results[n_tracks],$B73,benchmark_results[target_s],$C73,benchmark_results[timed_out],TRUE)=1,"TO",SUMIFS(benchmark_results[runtime_s],benchmark_results[round],$A73,benchmark_results[algo],D$30,benchmark_results[n_tracks],$B73,benchmark_results[target_s],$C73))</f>
        <v>TO</v>
      </c>
      <c r="E73" s="10">
        <f>IF(COUNTIFS(benchmark_results[round],$A73,benchmark_results[algo],E$30,benchmark_results[n_tracks],$B73,benchmark_results[target_s],$C73,benchmark_results[timed_out],TRUE)=1,"TO",SUMIFS(benchmark_results[runtime_s],benchmark_results[round],$A73,benchmark_results[algo],E$30,benchmark_results[n_tracks],$B73,benchmark_results[target_s],$C73))</f>
        <v>3.9830000605434179E-4</v>
      </c>
      <c r="F73" s="10">
        <f>IF(COUNTIFS(benchmark_results[round],$A73,benchmark_results[algo],F$30,benchmark_results[n_tracks],$B73,benchmark_results[target_s],$C73,benchmark_results[timed_out],TRUE)=1,"TO",SUMIFS(benchmark_results[runtime_s],benchmark_results[round],$A73,benchmark_results[algo],F$30,benchmark_results[n_tracks],$B73,benchmark_results[target_s],$C73))</f>
        <v>2.330999996047467E-4</v>
      </c>
      <c r="G73" s="10">
        <f>IF(COUNTIFS(benchmark_results[round],$A73,benchmark_results[algo],G$30,benchmark_results[n_tracks],$B73,benchmark_results[target_s],$C73,benchmark_results[timed_out],TRUE)=1,"TO",SUMIFS(benchmark_results[runtime_s],benchmark_results[round],$A73,benchmark_results[algo],G$30,benchmark_results[n_tracks],$B73,benchmark_results[target_s],$C73))</f>
        <v>1.942000089911744E-4</v>
      </c>
      <c r="H73" s="19">
        <f t="shared" si="3"/>
        <v>1.2003089022273945</v>
      </c>
      <c r="I73" t="str">
        <f t="shared" si="4"/>
        <v>v4</v>
      </c>
      <c r="J73">
        <f>SUMIFS(benchmark_results[gap_s],benchmark_results[round],$A73,benchmark_results[algo],$F$30,benchmark_results[n_tracks],$B73,benchmark_results[target_s],$C73)</f>
        <v>0</v>
      </c>
      <c r="K73">
        <f>SUMIFS(benchmark_results[gap_s],benchmark_results[round],$A73,benchmark_results[algo],$G$30,benchmark_results[n_tracks],$B73,benchmark_results[target_s],$C73)</f>
        <v>0</v>
      </c>
    </row>
    <row r="74" spans="1:11" x14ac:dyDescent="0.3">
      <c r="A74">
        <f t="shared" si="2"/>
        <v>1</v>
      </c>
      <c r="B74" cm="1">
        <f t="array" ref="B74">INDEX('By Size'!$A$5:$A$10,MOD(ROW()-31,6)+1)</f>
        <v>30</v>
      </c>
      <c r="C74" cm="1">
        <f t="array" ref="C74">INDEX('By Target'!$A$5:$A$9,INT(MOD(ROW()-31,30)/6)+1)</f>
        <v>1200</v>
      </c>
      <c r="D74" s="10">
        <f>IF(COUNTIFS(benchmark_results[round],$A74,benchmark_results[algo],D$30,benchmark_results[n_tracks],$B74,benchmark_results[target_s],$C74,benchmark_results[timed_out],TRUE)=1,"TO",SUMIFS(benchmark_results[runtime_s],benchmark_results[round],$A74,benchmark_results[algo],D$30,benchmark_results[n_tracks],$B74,benchmark_results[target_s],$C74))</f>
        <v>9.1460000840015709E-4</v>
      </c>
      <c r="E74" s="10">
        <f>IF(COUNTIFS(benchmark_results[round],$A74,benchmark_results[algo],E$30,benchmark_results[n_tracks],$B74,benchmark_results[target_s],$C74,benchmark_results[timed_out],TRUE)=1,"TO",SUMIFS(benchmark_results[runtime_s],benchmark_results[round],$A74,benchmark_results[algo],E$30,benchmark_results[n_tracks],$B74,benchmark_results[target_s],$C74))</f>
        <v>0.94420480000553653</v>
      </c>
      <c r="F74" s="10">
        <f>IF(COUNTIFS(benchmark_results[round],$A74,benchmark_results[algo],F$30,benchmark_results[n_tracks],$B74,benchmark_results[target_s],$C74,benchmark_results[timed_out],TRUE)=1,"TO",SUMIFS(benchmark_results[runtime_s],benchmark_results[round],$A74,benchmark_results[algo],F$30,benchmark_results[n_tracks],$B74,benchmark_results[target_s],$C74))</f>
        <v>1.1331500005326234E-2</v>
      </c>
      <c r="G74" s="10">
        <f>IF(COUNTIFS(benchmark_results[round],$A74,benchmark_results[algo],G$30,benchmark_results[n_tracks],$B74,benchmark_results[target_s],$C74,benchmark_results[timed_out],TRUE)=1,"TO",SUMIFS(benchmark_results[runtime_s],benchmark_results[round],$A74,benchmark_results[algo],G$30,benchmark_results[n_tracks],$B74,benchmark_results[target_s],$C74))</f>
        <v>3.3915000094566494E-3</v>
      </c>
      <c r="H74" s="19">
        <f t="shared" si="3"/>
        <v>3.3411469773640508</v>
      </c>
      <c r="I74" t="str">
        <f t="shared" si="4"/>
        <v>v1</v>
      </c>
      <c r="J74">
        <f>SUMIFS(benchmark_results[gap_s],benchmark_results[round],$A74,benchmark_results[algo],$F$30,benchmark_results[n_tracks],$B74,benchmark_results[target_s],$C74)</f>
        <v>0</v>
      </c>
      <c r="K74">
        <f>SUMIFS(benchmark_results[gap_s],benchmark_results[round],$A74,benchmark_results[algo],$G$30,benchmark_results[n_tracks],$B74,benchmark_results[target_s],$C74)</f>
        <v>0</v>
      </c>
    </row>
    <row r="75" spans="1:11" x14ac:dyDescent="0.3">
      <c r="A75">
        <f t="shared" si="2"/>
        <v>1</v>
      </c>
      <c r="B75" cm="1">
        <f t="array" ref="B75">INDEX('By Size'!$A$5:$A$10,MOD(ROW()-31,6)+1)</f>
        <v>50</v>
      </c>
      <c r="C75" cm="1">
        <f t="array" ref="C75">INDEX('By Target'!$A$5:$A$9,INT(MOD(ROW()-31,30)/6)+1)</f>
        <v>1200</v>
      </c>
      <c r="D75" s="10">
        <f>IF(COUNTIFS(benchmark_results[round],$A75,benchmark_results[algo],D$30,benchmark_results[n_tracks],$B75,benchmark_results[target_s],$C75,benchmark_results[timed_out],TRUE)=1,"TO",SUMIFS(benchmark_results[runtime_s],benchmark_results[round],$A75,benchmark_results[algo],D$30,benchmark_results[n_tracks],$B75,benchmark_results[target_s],$C75))</f>
        <v>1.0747000051196665E-3</v>
      </c>
      <c r="E75" s="10" t="str">
        <f>IF(COUNTIFS(benchmark_results[round],$A75,benchmark_results[algo],E$30,benchmark_results[n_tracks],$B75,benchmark_results[target_s],$C75,benchmark_results[timed_out],TRUE)=1,"TO",SUMIFS(benchmark_results[runtime_s],benchmark_results[round],$A75,benchmark_results[algo],E$30,benchmark_results[n_tracks],$B75,benchmark_results[target_s],$C75))</f>
        <v>TO</v>
      </c>
      <c r="F75" s="10">
        <f>IF(COUNTIFS(benchmark_results[round],$A75,benchmark_results[algo],F$30,benchmark_results[n_tracks],$B75,benchmark_results[target_s],$C75,benchmark_results[timed_out],TRUE)=1,"TO",SUMIFS(benchmark_results[runtime_s],benchmark_results[round],$A75,benchmark_results[algo],F$30,benchmark_results[n_tracks],$B75,benchmark_results[target_s],$C75))</f>
        <v>1.3417199996183626E-2</v>
      </c>
      <c r="G75" s="10">
        <f>IF(COUNTIFS(benchmark_results[round],$A75,benchmark_results[algo],G$30,benchmark_results[n_tracks],$B75,benchmark_results[target_s],$C75,benchmark_results[timed_out],TRUE)=1,"TO",SUMIFS(benchmark_results[runtime_s],benchmark_results[round],$A75,benchmark_results[algo],G$30,benchmark_results[n_tracks],$B75,benchmark_results[target_s],$C75))</f>
        <v>5.1500999979907647E-3</v>
      </c>
      <c r="H75" s="19">
        <f t="shared" si="3"/>
        <v>2.6052309666643656</v>
      </c>
      <c r="I75" t="str">
        <f t="shared" si="4"/>
        <v>v1</v>
      </c>
      <c r="J75">
        <f>SUMIFS(benchmark_results[gap_s],benchmark_results[round],$A75,benchmark_results[algo],$F$30,benchmark_results[n_tracks],$B75,benchmark_results[target_s],$C75)</f>
        <v>0</v>
      </c>
      <c r="K75">
        <f>SUMIFS(benchmark_results[gap_s],benchmark_results[round],$A75,benchmark_results[algo],$G$30,benchmark_results[n_tracks],$B75,benchmark_results[target_s],$C75)</f>
        <v>0</v>
      </c>
    </row>
    <row r="76" spans="1:11" x14ac:dyDescent="0.3">
      <c r="A76">
        <f t="shared" si="2"/>
        <v>1</v>
      </c>
      <c r="B76" cm="1">
        <f t="array" ref="B76">INDEX('By Size'!$A$5:$A$10,MOD(ROW()-31,6)+1)</f>
        <v>100</v>
      </c>
      <c r="C76" cm="1">
        <f t="array" ref="C76">INDEX('By Target'!$A$5:$A$9,INT(MOD(ROW()-31,30)/6)+1)</f>
        <v>1200</v>
      </c>
      <c r="D76" s="10">
        <f>IF(COUNTIFS(benchmark_results[round],$A76,benchmark_results[algo],D$30,benchmark_results[n_tracks],$B76,benchmark_results[target_s],$C76,benchmark_results[timed_out],TRUE)=1,"TO",SUMIFS(benchmark_results[runtime_s],benchmark_results[round],$A76,benchmark_results[algo],D$30,benchmark_results[n_tracks],$B76,benchmark_results[target_s],$C76))</f>
        <v>6.9700006861239672E-5</v>
      </c>
      <c r="E76" s="10" t="str">
        <f>IF(COUNTIFS(benchmark_results[round],$A76,benchmark_results[algo],E$30,benchmark_results[n_tracks],$B76,benchmark_results[target_s],$C76,benchmark_results[timed_out],TRUE)=1,"TO",SUMIFS(benchmark_results[runtime_s],benchmark_results[round],$A76,benchmark_results[algo],E$30,benchmark_results[n_tracks],$B76,benchmark_results[target_s],$C76))</f>
        <v>TO</v>
      </c>
      <c r="F76" s="10">
        <f>IF(COUNTIFS(benchmark_results[round],$A76,benchmark_results[algo],F$30,benchmark_results[n_tracks],$B76,benchmark_results[target_s],$C76,benchmark_results[timed_out],TRUE)=1,"TO",SUMIFS(benchmark_results[runtime_s],benchmark_results[round],$A76,benchmark_results[algo],F$30,benchmark_results[n_tracks],$B76,benchmark_results[target_s],$C76))</f>
        <v>4.0326900008949451E-2</v>
      </c>
      <c r="G76" s="10">
        <f>IF(COUNTIFS(benchmark_results[round],$A76,benchmark_results[algo],G$30,benchmark_results[n_tracks],$B76,benchmark_results[target_s],$C76,benchmark_results[timed_out],TRUE)=1,"TO",SUMIFS(benchmark_results[runtime_s],benchmark_results[round],$A76,benchmark_results[algo],G$30,benchmark_results[n_tracks],$B76,benchmark_results[target_s],$C76))</f>
        <v>1.2288300000363961E-2</v>
      </c>
      <c r="H76" s="19">
        <f t="shared" si="3"/>
        <v>3.2817314036730085</v>
      </c>
      <c r="I76" t="str">
        <f t="shared" si="4"/>
        <v>v1</v>
      </c>
      <c r="J76">
        <f>SUMIFS(benchmark_results[gap_s],benchmark_results[round],$A76,benchmark_results[algo],$F$30,benchmark_results[n_tracks],$B76,benchmark_results[target_s],$C76)</f>
        <v>0</v>
      </c>
      <c r="K76">
        <f>SUMIFS(benchmark_results[gap_s],benchmark_results[round],$A76,benchmark_results[algo],$G$30,benchmark_results[n_tracks],$B76,benchmark_results[target_s],$C76)</f>
        <v>0</v>
      </c>
    </row>
    <row r="77" spans="1:11" x14ac:dyDescent="0.3">
      <c r="A77">
        <f t="shared" si="2"/>
        <v>1</v>
      </c>
      <c r="B77" cm="1">
        <f t="array" ref="B77">INDEX('By Size'!$A$5:$A$10,MOD(ROW()-31,6)+1)</f>
        <v>200</v>
      </c>
      <c r="C77" cm="1">
        <f t="array" ref="C77">INDEX('By Target'!$A$5:$A$9,INT(MOD(ROW()-31,30)/6)+1)</f>
        <v>1200</v>
      </c>
      <c r="D77" s="10">
        <f>IF(COUNTIFS(benchmark_results[round],$A77,benchmark_results[algo],D$30,benchmark_results[n_tracks],$B77,benchmark_results[target_s],$C77,benchmark_results[timed_out],TRUE)=1,"TO",SUMIFS(benchmark_results[runtime_s],benchmark_results[round],$A77,benchmark_results[algo],D$30,benchmark_results[n_tracks],$B77,benchmark_results[target_s],$C77))</f>
        <v>2.3794000007910654E-3</v>
      </c>
      <c r="E77" s="10" t="str">
        <f>IF(COUNTIFS(benchmark_results[round],$A77,benchmark_results[algo],E$30,benchmark_results[n_tracks],$B77,benchmark_results[target_s],$C77,benchmark_results[timed_out],TRUE)=1,"TO",SUMIFS(benchmark_results[runtime_s],benchmark_results[round],$A77,benchmark_results[algo],E$30,benchmark_results[n_tracks],$B77,benchmark_results[target_s],$C77))</f>
        <v>TO</v>
      </c>
      <c r="F77" s="10">
        <f>IF(COUNTIFS(benchmark_results[round],$A77,benchmark_results[algo],F$30,benchmark_results[n_tracks],$B77,benchmark_results[target_s],$C77,benchmark_results[timed_out],TRUE)=1,"TO",SUMIFS(benchmark_results[runtime_s],benchmark_results[round],$A77,benchmark_results[algo],F$30,benchmark_results[n_tracks],$B77,benchmark_results[target_s],$C77))</f>
        <v>8.8659500004723668E-2</v>
      </c>
      <c r="G77" s="10">
        <f>IF(COUNTIFS(benchmark_results[round],$A77,benchmark_results[algo],G$30,benchmark_results[n_tracks],$B77,benchmark_results[target_s],$C77,benchmark_results[timed_out],TRUE)=1,"TO",SUMIFS(benchmark_results[runtime_s],benchmark_results[round],$A77,benchmark_results[algo],G$30,benchmark_results[n_tracks],$B77,benchmark_results[target_s],$C77))</f>
        <v>2.5532400002703071E-2</v>
      </c>
      <c r="H77" s="19">
        <f t="shared" si="3"/>
        <v>3.472431106959684</v>
      </c>
      <c r="I77" t="str">
        <f t="shared" si="4"/>
        <v>v1</v>
      </c>
      <c r="J77">
        <f>SUMIFS(benchmark_results[gap_s],benchmark_results[round],$A77,benchmark_results[algo],$F$30,benchmark_results[n_tracks],$B77,benchmark_results[target_s],$C77)</f>
        <v>0</v>
      </c>
      <c r="K77">
        <f>SUMIFS(benchmark_results[gap_s],benchmark_results[round],$A77,benchmark_results[algo],$G$30,benchmark_results[n_tracks],$B77,benchmark_results[target_s],$C77)</f>
        <v>0</v>
      </c>
    </row>
    <row r="78" spans="1:11" x14ac:dyDescent="0.3">
      <c r="A78">
        <f t="shared" si="2"/>
        <v>1</v>
      </c>
      <c r="B78" cm="1">
        <f t="array" ref="B78">INDEX('By Size'!$A$5:$A$10,MOD(ROW()-31,6)+1)</f>
        <v>400</v>
      </c>
      <c r="C78" cm="1">
        <f t="array" ref="C78">INDEX('By Target'!$A$5:$A$9,INT(MOD(ROW()-31,30)/6)+1)</f>
        <v>1200</v>
      </c>
      <c r="D78" s="10">
        <f>IF(COUNTIFS(benchmark_results[round],$A78,benchmark_results[algo],D$30,benchmark_results[n_tracks],$B78,benchmark_results[target_s],$C78,benchmark_results[timed_out],TRUE)=1,"TO",SUMIFS(benchmark_results[runtime_s],benchmark_results[round],$A78,benchmark_results[algo],D$30,benchmark_results[n_tracks],$B78,benchmark_results[target_s],$C78))</f>
        <v>1.4780000492464751E-4</v>
      </c>
      <c r="E78" s="10" t="str">
        <f>IF(COUNTIFS(benchmark_results[round],$A78,benchmark_results[algo],E$30,benchmark_results[n_tracks],$B78,benchmark_results[target_s],$C78,benchmark_results[timed_out],TRUE)=1,"TO",SUMIFS(benchmark_results[runtime_s],benchmark_results[round],$A78,benchmark_results[algo],E$30,benchmark_results[n_tracks],$B78,benchmark_results[target_s],$C78))</f>
        <v>TO</v>
      </c>
      <c r="F78" s="10">
        <f>IF(COUNTIFS(benchmark_results[round],$A78,benchmark_results[algo],F$30,benchmark_results[n_tracks],$B78,benchmark_results[target_s],$C78,benchmark_results[timed_out],TRUE)=1,"TO",SUMIFS(benchmark_results[runtime_s],benchmark_results[round],$A78,benchmark_results[algo],F$30,benchmark_results[n_tracks],$B78,benchmark_results[target_s],$C78))</f>
        <v>0.19180989998858422</v>
      </c>
      <c r="G78" s="10">
        <f>IF(COUNTIFS(benchmark_results[round],$A78,benchmark_results[algo],G$30,benchmark_results[n_tracks],$B78,benchmark_results[target_s],$C78,benchmark_results[timed_out],TRUE)=1,"TO",SUMIFS(benchmark_results[runtime_s],benchmark_results[round],$A78,benchmark_results[algo],G$30,benchmark_results[n_tracks],$B78,benchmark_results[target_s],$C78))</f>
        <v>5.5995599992456846E-2</v>
      </c>
      <c r="H78" s="19">
        <f t="shared" si="3"/>
        <v>3.4254459281519063</v>
      </c>
      <c r="I78" t="str">
        <f t="shared" si="4"/>
        <v>v1</v>
      </c>
      <c r="J78">
        <f>SUMIFS(benchmark_results[gap_s],benchmark_results[round],$A78,benchmark_results[algo],$F$30,benchmark_results[n_tracks],$B78,benchmark_results[target_s],$C78)</f>
        <v>0</v>
      </c>
      <c r="K78">
        <f>SUMIFS(benchmark_results[gap_s],benchmark_results[round],$A78,benchmark_results[algo],$G$30,benchmark_results[n_tracks],$B78,benchmark_results[target_s],$C78)</f>
        <v>0</v>
      </c>
    </row>
    <row r="79" spans="1:11" x14ac:dyDescent="0.3">
      <c r="A79">
        <f t="shared" si="2"/>
        <v>1</v>
      </c>
      <c r="B79" cm="1">
        <f t="array" ref="B79">INDEX('By Size'!$A$5:$A$10,MOD(ROW()-31,6)+1)</f>
        <v>10</v>
      </c>
      <c r="C79" cm="1">
        <f t="array" ref="C79">INDEX('By Target'!$A$5:$A$9,INT(MOD(ROW()-31,30)/6)+1)</f>
        <v>3600</v>
      </c>
      <c r="D79" s="10">
        <f>IF(COUNTIFS(benchmark_results[round],$A79,benchmark_results[algo],D$30,benchmark_results[n_tracks],$B79,benchmark_results[target_s],$C79,benchmark_results[timed_out],TRUE)=1,"TO",SUMIFS(benchmark_results[runtime_s],benchmark_results[round],$A79,benchmark_results[algo],D$30,benchmark_results[n_tracks],$B79,benchmark_results[target_s],$C79))</f>
        <v>1.7900005332194269E-5</v>
      </c>
      <c r="E79" s="10">
        <f>IF(COUNTIFS(benchmark_results[round],$A79,benchmark_results[algo],E$30,benchmark_results[n_tracks],$B79,benchmark_results[target_s],$C79,benchmark_results[timed_out],TRUE)=1,"TO",SUMIFS(benchmark_results[runtime_s],benchmark_results[round],$A79,benchmark_results[algo],E$30,benchmark_results[n_tracks],$B79,benchmark_results[target_s],$C79))</f>
        <v>6.1259999347385019E-4</v>
      </c>
      <c r="F79" s="10">
        <f>IF(COUNTIFS(benchmark_results[round],$A79,benchmark_results[algo],F$30,benchmark_results[n_tracks],$B79,benchmark_results[target_s],$C79,benchmark_results[timed_out],TRUE)=1,"TO",SUMIFS(benchmark_results[runtime_s],benchmark_results[round],$A79,benchmark_results[algo],F$30,benchmark_results[n_tracks],$B79,benchmark_results[target_s],$C79))</f>
        <v>8.2139999722130597E-4</v>
      </c>
      <c r="G79" s="10">
        <f>IF(COUNTIFS(benchmark_results[round],$A79,benchmark_results[algo],G$30,benchmark_results[n_tracks],$B79,benchmark_results[target_s],$C79,benchmark_results[timed_out],TRUE)=1,"TO",SUMIFS(benchmark_results[runtime_s],benchmark_results[round],$A79,benchmark_results[algo],G$30,benchmark_results[n_tracks],$B79,benchmark_results[target_s],$C79))</f>
        <v>4.0059999446384609E-4</v>
      </c>
      <c r="H79" s="19">
        <f t="shared" si="3"/>
        <v>2.0504243848546455</v>
      </c>
      <c r="I79" t="str">
        <f t="shared" si="4"/>
        <v>v1</v>
      </c>
      <c r="J79">
        <f>SUMIFS(benchmark_results[gap_s],benchmark_results[round],$A79,benchmark_results[algo],$F$30,benchmark_results[n_tracks],$B79,benchmark_results[target_s],$C79)</f>
        <v>505</v>
      </c>
      <c r="K79">
        <f>SUMIFS(benchmark_results[gap_s],benchmark_results[round],$A79,benchmark_results[algo],$G$30,benchmark_results[n_tracks],$B79,benchmark_results[target_s],$C79)</f>
        <v>505</v>
      </c>
    </row>
    <row r="80" spans="1:11" x14ac:dyDescent="0.3">
      <c r="A80">
        <f t="shared" si="2"/>
        <v>1</v>
      </c>
      <c r="B80" cm="1">
        <f t="array" ref="B80">INDEX('By Size'!$A$5:$A$10,MOD(ROW()-31,6)+1)</f>
        <v>30</v>
      </c>
      <c r="C80" cm="1">
        <f t="array" ref="C80">INDEX('By Target'!$A$5:$A$9,INT(MOD(ROW()-31,30)/6)+1)</f>
        <v>3600</v>
      </c>
      <c r="D80" s="10">
        <f>IF(COUNTIFS(benchmark_results[round],$A80,benchmark_results[algo],D$30,benchmark_results[n_tracks],$B80,benchmark_results[target_s],$C80,benchmark_results[timed_out],TRUE)=1,"TO",SUMIFS(benchmark_results[runtime_s],benchmark_results[round],$A80,benchmark_results[algo],D$30,benchmark_results[n_tracks],$B80,benchmark_results[target_s],$C80))</f>
        <v>1.6790001245681196E-4</v>
      </c>
      <c r="E80" s="10" t="str">
        <f>IF(COUNTIFS(benchmark_results[round],$A80,benchmark_results[algo],E$30,benchmark_results[n_tracks],$B80,benchmark_results[target_s],$C80,benchmark_results[timed_out],TRUE)=1,"TO",SUMIFS(benchmark_results[runtime_s],benchmark_results[round],$A80,benchmark_results[algo],E$30,benchmark_results[n_tracks],$B80,benchmark_results[target_s],$C80))</f>
        <v>TO</v>
      </c>
      <c r="F80" s="10">
        <f>IF(COUNTIFS(benchmark_results[round],$A80,benchmark_results[algo],F$30,benchmark_results[n_tracks],$B80,benchmark_results[target_s],$C80,benchmark_results[timed_out],TRUE)=1,"TO",SUMIFS(benchmark_results[runtime_s],benchmark_results[round],$A80,benchmark_results[algo],F$30,benchmark_results[n_tracks],$B80,benchmark_results[target_s],$C80))</f>
        <v>2.7291999998851679E-2</v>
      </c>
      <c r="G80" s="10">
        <f>IF(COUNTIFS(benchmark_results[round],$A80,benchmark_results[algo],G$30,benchmark_results[n_tracks],$B80,benchmark_results[target_s],$C80,benchmark_results[timed_out],TRUE)=1,"TO",SUMIFS(benchmark_results[runtime_s],benchmark_results[round],$A80,benchmark_results[algo],G$30,benchmark_results[n_tracks],$B80,benchmark_results[target_s],$C80))</f>
        <v>1.1421899995184503E-2</v>
      </c>
      <c r="H80" s="19">
        <f t="shared" si="3"/>
        <v>2.3894448393312882</v>
      </c>
      <c r="I80" t="str">
        <f t="shared" si="4"/>
        <v>v1</v>
      </c>
      <c r="J80">
        <f>SUMIFS(benchmark_results[gap_s],benchmark_results[round],$A80,benchmark_results[algo],$F$30,benchmark_results[n_tracks],$B80,benchmark_results[target_s],$C80)</f>
        <v>0</v>
      </c>
      <c r="K80">
        <f>SUMIFS(benchmark_results[gap_s],benchmark_results[round],$A80,benchmark_results[algo],$G$30,benchmark_results[n_tracks],$B80,benchmark_results[target_s],$C80)</f>
        <v>0</v>
      </c>
    </row>
    <row r="81" spans="1:11" x14ac:dyDescent="0.3">
      <c r="A81">
        <f t="shared" si="2"/>
        <v>1</v>
      </c>
      <c r="B81" cm="1">
        <f t="array" ref="B81">INDEX('By Size'!$A$5:$A$10,MOD(ROW()-31,6)+1)</f>
        <v>50</v>
      </c>
      <c r="C81" cm="1">
        <f t="array" ref="C81">INDEX('By Target'!$A$5:$A$9,INT(MOD(ROW()-31,30)/6)+1)</f>
        <v>3600</v>
      </c>
      <c r="D81" s="10">
        <f>IF(COUNTIFS(benchmark_results[round],$A81,benchmark_results[algo],D$30,benchmark_results[n_tracks],$B81,benchmark_results[target_s],$C81,benchmark_results[timed_out],TRUE)=1,"TO",SUMIFS(benchmark_results[runtime_s],benchmark_results[round],$A81,benchmark_results[algo],D$30,benchmark_results[n_tracks],$B81,benchmark_results[target_s],$C81))</f>
        <v>8.1290000525768846E-4</v>
      </c>
      <c r="E81" s="10" t="str">
        <f>IF(COUNTIFS(benchmark_results[round],$A81,benchmark_results[algo],E$30,benchmark_results[n_tracks],$B81,benchmark_results[target_s],$C81,benchmark_results[timed_out],TRUE)=1,"TO",SUMIFS(benchmark_results[runtime_s],benchmark_results[round],$A81,benchmark_results[algo],E$30,benchmark_results[n_tracks],$B81,benchmark_results[target_s],$C81))</f>
        <v>TO</v>
      </c>
      <c r="F81" s="10">
        <f>IF(COUNTIFS(benchmark_results[round],$A81,benchmark_results[algo],F$30,benchmark_results[n_tracks],$B81,benchmark_results[target_s],$C81,benchmark_results[timed_out],TRUE)=1,"TO",SUMIFS(benchmark_results[runtime_s],benchmark_results[round],$A81,benchmark_results[algo],F$30,benchmark_results[n_tracks],$B81,benchmark_results[target_s],$C81))</f>
        <v>7.1570200001588091E-2</v>
      </c>
      <c r="G81" s="10">
        <f>IF(COUNTIFS(benchmark_results[round],$A81,benchmark_results[algo],G$30,benchmark_results[n_tracks],$B81,benchmark_results[target_s],$C81,benchmark_results[timed_out],TRUE)=1,"TO",SUMIFS(benchmark_results[runtime_s],benchmark_results[round],$A81,benchmark_results[algo],G$30,benchmark_results[n_tracks],$B81,benchmark_results[target_s],$C81))</f>
        <v>3.1065300005138852E-2</v>
      </c>
      <c r="H81" s="19">
        <f t="shared" si="3"/>
        <v>2.3038631524481938</v>
      </c>
      <c r="I81" t="str">
        <f t="shared" si="4"/>
        <v>v1</v>
      </c>
      <c r="J81">
        <f>SUMIFS(benchmark_results[gap_s],benchmark_results[round],$A81,benchmark_results[algo],$F$30,benchmark_results[n_tracks],$B81,benchmark_results[target_s],$C81)</f>
        <v>0</v>
      </c>
      <c r="K81">
        <f>SUMIFS(benchmark_results[gap_s],benchmark_results[round],$A81,benchmark_results[algo],$G$30,benchmark_results[n_tracks],$B81,benchmark_results[target_s],$C81)</f>
        <v>0</v>
      </c>
    </row>
    <row r="82" spans="1:11" x14ac:dyDescent="0.3">
      <c r="A82">
        <f t="shared" si="2"/>
        <v>1</v>
      </c>
      <c r="B82" cm="1">
        <f t="array" ref="B82">INDEX('By Size'!$A$5:$A$10,MOD(ROW()-31,6)+1)</f>
        <v>100</v>
      </c>
      <c r="C82" cm="1">
        <f t="array" ref="C82">INDEX('By Target'!$A$5:$A$9,INT(MOD(ROW()-31,30)/6)+1)</f>
        <v>3600</v>
      </c>
      <c r="D82" s="10">
        <f>IF(COUNTIFS(benchmark_results[round],$A82,benchmark_results[algo],D$30,benchmark_results[n_tracks],$B82,benchmark_results[target_s],$C82,benchmark_results[timed_out],TRUE)=1,"TO",SUMIFS(benchmark_results[runtime_s],benchmark_results[round],$A82,benchmark_results[algo],D$30,benchmark_results[n_tracks],$B82,benchmark_results[target_s],$C82))</f>
        <v>7.1259999822359532E-4</v>
      </c>
      <c r="E82" s="10" t="str">
        <f>IF(COUNTIFS(benchmark_results[round],$A82,benchmark_results[algo],E$30,benchmark_results[n_tracks],$B82,benchmark_results[target_s],$C82,benchmark_results[timed_out],TRUE)=1,"TO",SUMIFS(benchmark_results[runtime_s],benchmark_results[round],$A82,benchmark_results[algo],E$30,benchmark_results[n_tracks],$B82,benchmark_results[target_s],$C82))</f>
        <v>TO</v>
      </c>
      <c r="F82" s="10">
        <f>IF(COUNTIFS(benchmark_results[round],$A82,benchmark_results[algo],F$30,benchmark_results[n_tracks],$B82,benchmark_results[target_s],$C82,benchmark_results[timed_out],TRUE)=1,"TO",SUMIFS(benchmark_results[runtime_s],benchmark_results[round],$A82,benchmark_results[algo],F$30,benchmark_results[n_tracks],$B82,benchmark_results[target_s],$C82))</f>
        <v>0.34359039999253582</v>
      </c>
      <c r="G82" s="10">
        <f>IF(COUNTIFS(benchmark_results[round],$A82,benchmark_results[algo],G$30,benchmark_results[n_tracks],$B82,benchmark_results[target_s],$C82,benchmark_results[timed_out],TRUE)=1,"TO",SUMIFS(benchmark_results[runtime_s],benchmark_results[round],$A82,benchmark_results[algo],G$30,benchmark_results[n_tracks],$B82,benchmark_results[target_s],$C82))</f>
        <v>6.7208300009951927E-2</v>
      </c>
      <c r="H82" s="19">
        <f t="shared" si="3"/>
        <v>5.1123209475862117</v>
      </c>
      <c r="I82" t="str">
        <f t="shared" si="4"/>
        <v>v1</v>
      </c>
      <c r="J82">
        <f>SUMIFS(benchmark_results[gap_s],benchmark_results[round],$A82,benchmark_results[algo],$F$30,benchmark_results[n_tracks],$B82,benchmark_results[target_s],$C82)</f>
        <v>0</v>
      </c>
      <c r="K82">
        <f>SUMIFS(benchmark_results[gap_s],benchmark_results[round],$A82,benchmark_results[algo],$G$30,benchmark_results[n_tracks],$B82,benchmark_results[target_s],$C82)</f>
        <v>0</v>
      </c>
    </row>
    <row r="83" spans="1:11" x14ac:dyDescent="0.3">
      <c r="A83">
        <f t="shared" si="2"/>
        <v>1</v>
      </c>
      <c r="B83" cm="1">
        <f t="array" ref="B83">INDEX('By Size'!$A$5:$A$10,MOD(ROW()-31,6)+1)</f>
        <v>200</v>
      </c>
      <c r="C83" cm="1">
        <f t="array" ref="C83">INDEX('By Target'!$A$5:$A$9,INT(MOD(ROW()-31,30)/6)+1)</f>
        <v>3600</v>
      </c>
      <c r="D83" s="10">
        <f>IF(COUNTIFS(benchmark_results[round],$A83,benchmark_results[algo],D$30,benchmark_results[n_tracks],$B83,benchmark_results[target_s],$C83,benchmark_results[timed_out],TRUE)=1,"TO",SUMIFS(benchmark_results[runtime_s],benchmark_results[round],$A83,benchmark_results[algo],D$30,benchmark_results[n_tracks],$B83,benchmark_results[target_s],$C83))</f>
        <v>3.4270000469405204E-4</v>
      </c>
      <c r="E83" s="10" t="str">
        <f>IF(COUNTIFS(benchmark_results[round],$A83,benchmark_results[algo],E$30,benchmark_results[n_tracks],$B83,benchmark_results[target_s],$C83,benchmark_results[timed_out],TRUE)=1,"TO",SUMIFS(benchmark_results[runtime_s],benchmark_results[round],$A83,benchmark_results[algo],E$30,benchmark_results[n_tracks],$B83,benchmark_results[target_s],$C83))</f>
        <v>TO</v>
      </c>
      <c r="F83" s="10">
        <f>IF(COUNTIFS(benchmark_results[round],$A83,benchmark_results[algo],F$30,benchmark_results[n_tracks],$B83,benchmark_results[target_s],$C83,benchmark_results[timed_out],TRUE)=1,"TO",SUMIFS(benchmark_results[runtime_s],benchmark_results[round],$A83,benchmark_results[algo],F$30,benchmark_results[n_tracks],$B83,benchmark_results[target_s],$C83))</f>
        <v>0.42859429999953136</v>
      </c>
      <c r="G83" s="10">
        <f>IF(COUNTIFS(benchmark_results[round],$A83,benchmark_results[algo],G$30,benchmark_results[n_tracks],$B83,benchmark_results[target_s],$C83,benchmark_results[timed_out],TRUE)=1,"TO",SUMIFS(benchmark_results[runtime_s],benchmark_results[round],$A83,benchmark_results[algo],G$30,benchmark_results[n_tracks],$B83,benchmark_results[target_s],$C83))</f>
        <v>0.13340320000133943</v>
      </c>
      <c r="H83" s="19">
        <f t="shared" si="3"/>
        <v>3.2127737565157961</v>
      </c>
      <c r="I83" t="str">
        <f t="shared" si="4"/>
        <v>v1</v>
      </c>
      <c r="J83">
        <f>SUMIFS(benchmark_results[gap_s],benchmark_results[round],$A83,benchmark_results[algo],$F$30,benchmark_results[n_tracks],$B83,benchmark_results[target_s],$C83)</f>
        <v>0</v>
      </c>
      <c r="K83">
        <f>SUMIFS(benchmark_results[gap_s],benchmark_results[round],$A83,benchmark_results[algo],$G$30,benchmark_results[n_tracks],$B83,benchmark_results[target_s],$C83)</f>
        <v>0</v>
      </c>
    </row>
    <row r="84" spans="1:11" x14ac:dyDescent="0.3">
      <c r="A84">
        <f t="shared" si="2"/>
        <v>1</v>
      </c>
      <c r="B84" cm="1">
        <f t="array" ref="B84">INDEX('By Size'!$A$5:$A$10,MOD(ROW()-31,6)+1)</f>
        <v>400</v>
      </c>
      <c r="C84" cm="1">
        <f t="array" ref="C84">INDEX('By Target'!$A$5:$A$9,INT(MOD(ROW()-31,30)/6)+1)</f>
        <v>3600</v>
      </c>
      <c r="D84" s="10">
        <f>IF(COUNTIFS(benchmark_results[round],$A84,benchmark_results[algo],D$30,benchmark_results[n_tracks],$B84,benchmark_results[target_s],$C84,benchmark_results[timed_out],TRUE)=1,"TO",SUMIFS(benchmark_results[runtime_s],benchmark_results[round],$A84,benchmark_results[algo],D$30,benchmark_results[n_tracks],$B84,benchmark_results[target_s],$C84))</f>
        <v>2.2050000552553684E-4</v>
      </c>
      <c r="E84" s="10" t="str">
        <f>IF(COUNTIFS(benchmark_results[round],$A84,benchmark_results[algo],E$30,benchmark_results[n_tracks],$B84,benchmark_results[target_s],$C84,benchmark_results[timed_out],TRUE)=1,"TO",SUMIFS(benchmark_results[runtime_s],benchmark_results[round],$A84,benchmark_results[algo],E$30,benchmark_results[n_tracks],$B84,benchmark_results[target_s],$C84))</f>
        <v>TO</v>
      </c>
      <c r="F84" s="10">
        <f>IF(COUNTIFS(benchmark_results[round],$A84,benchmark_results[algo],F$30,benchmark_results[n_tracks],$B84,benchmark_results[target_s],$C84,benchmark_results[timed_out],TRUE)=1,"TO",SUMIFS(benchmark_results[runtime_s],benchmark_results[round],$A84,benchmark_results[algo],F$30,benchmark_results[n_tracks],$B84,benchmark_results[target_s],$C84))</f>
        <v>1.1434004999900935</v>
      </c>
      <c r="G84" s="10">
        <f>IF(COUNTIFS(benchmark_results[round],$A84,benchmark_results[algo],G$30,benchmark_results[n_tracks],$B84,benchmark_results[target_s],$C84,benchmark_results[timed_out],TRUE)=1,"TO",SUMIFS(benchmark_results[runtime_s],benchmark_results[round],$A84,benchmark_results[algo],G$30,benchmark_results[n_tracks],$B84,benchmark_results[target_s],$C84))</f>
        <v>0.3233322999876691</v>
      </c>
      <c r="H84" s="19">
        <f t="shared" si="3"/>
        <v>3.5363015078719302</v>
      </c>
      <c r="I84" t="str">
        <f t="shared" si="4"/>
        <v>v1</v>
      </c>
      <c r="J84">
        <f>SUMIFS(benchmark_results[gap_s],benchmark_results[round],$A84,benchmark_results[algo],$F$30,benchmark_results[n_tracks],$B84,benchmark_results[target_s],$C84)</f>
        <v>0</v>
      </c>
      <c r="K84">
        <f>SUMIFS(benchmark_results[gap_s],benchmark_results[round],$A84,benchmark_results[algo],$G$30,benchmark_results[n_tracks],$B84,benchmark_results[target_s],$C84)</f>
        <v>0</v>
      </c>
    </row>
    <row r="85" spans="1:11" x14ac:dyDescent="0.3">
      <c r="A85">
        <f t="shared" si="2"/>
        <v>1</v>
      </c>
      <c r="B85" cm="1">
        <f t="array" ref="B85">INDEX('By Size'!$A$5:$A$10,MOD(ROW()-31,6)+1)</f>
        <v>10</v>
      </c>
      <c r="C85" cm="1">
        <f t="array" ref="C85">INDEX('By Target'!$A$5:$A$9,INT(MOD(ROW()-31,30)/6)+1)</f>
        <v>7200</v>
      </c>
      <c r="D85" s="10">
        <f>IF(COUNTIFS(benchmark_results[round],$A85,benchmark_results[algo],D$30,benchmark_results[n_tracks],$B85,benchmark_results[target_s],$C85,benchmark_results[timed_out],TRUE)=1,"TO",SUMIFS(benchmark_results[runtime_s],benchmark_results[round],$A85,benchmark_results[algo],D$30,benchmark_results[n_tracks],$B85,benchmark_results[target_s],$C85))</f>
        <v>1.889999839477241E-5</v>
      </c>
      <c r="E85" s="10">
        <f>IF(COUNTIFS(benchmark_results[round],$A85,benchmark_results[algo],E$30,benchmark_results[n_tracks],$B85,benchmark_results[target_s],$C85,benchmark_results[timed_out],TRUE)=1,"TO",SUMIFS(benchmark_results[runtime_s],benchmark_results[round],$A85,benchmark_results[algo],E$30,benchmark_results[n_tracks],$B85,benchmark_results[target_s],$C85))</f>
        <v>5.5480000446550548E-4</v>
      </c>
      <c r="F85" s="10">
        <f>IF(COUNTIFS(benchmark_results[round],$A85,benchmark_results[algo],F$30,benchmark_results[n_tracks],$B85,benchmark_results[target_s],$C85,benchmark_results[timed_out],TRUE)=1,"TO",SUMIFS(benchmark_results[runtime_s],benchmark_results[round],$A85,benchmark_results[algo],F$30,benchmark_results[n_tracks],$B85,benchmark_results[target_s],$C85))</f>
        <v>5.6660000700503588E-4</v>
      </c>
      <c r="G85" s="10">
        <f>IF(COUNTIFS(benchmark_results[round],$A85,benchmark_results[algo],G$30,benchmark_results[n_tracks],$B85,benchmark_results[target_s],$C85,benchmark_results[timed_out],TRUE)=1,"TO",SUMIFS(benchmark_results[runtime_s],benchmark_results[round],$A85,benchmark_results[algo],G$30,benchmark_results[n_tracks],$B85,benchmark_results[target_s],$C85))</f>
        <v>5.3249999473337084E-4</v>
      </c>
      <c r="H85" s="19">
        <f t="shared" si="3"/>
        <v>1.0640375823641826</v>
      </c>
      <c r="I85" t="str">
        <f t="shared" si="4"/>
        <v>v1</v>
      </c>
      <c r="J85">
        <f>SUMIFS(benchmark_results[gap_s],benchmark_results[round],$A85,benchmark_results[algo],$F$30,benchmark_results[n_tracks],$B85,benchmark_results[target_s],$C85)</f>
        <v>4782</v>
      </c>
      <c r="K85">
        <f>SUMIFS(benchmark_results[gap_s],benchmark_results[round],$A85,benchmark_results[algo],$G$30,benchmark_results[n_tracks],$B85,benchmark_results[target_s],$C85)</f>
        <v>4782</v>
      </c>
    </row>
    <row r="86" spans="1:11" x14ac:dyDescent="0.3">
      <c r="A86">
        <f t="shared" si="2"/>
        <v>1</v>
      </c>
      <c r="B86" cm="1">
        <f t="array" ref="B86">INDEX('By Size'!$A$5:$A$10,MOD(ROW()-31,6)+1)</f>
        <v>30</v>
      </c>
      <c r="C86" cm="1">
        <f t="array" ref="C86">INDEX('By Target'!$A$5:$A$9,INT(MOD(ROW()-31,30)/6)+1)</f>
        <v>7200</v>
      </c>
      <c r="D86" s="10" t="str">
        <f>IF(COUNTIFS(benchmark_results[round],$A86,benchmark_results[algo],D$30,benchmark_results[n_tracks],$B86,benchmark_results[target_s],$C86,benchmark_results[timed_out],TRUE)=1,"TO",SUMIFS(benchmark_results[runtime_s],benchmark_results[round],$A86,benchmark_results[algo],D$30,benchmark_results[n_tracks],$B86,benchmark_results[target_s],$C86))</f>
        <v>TO</v>
      </c>
      <c r="E86" s="10" t="str">
        <f>IF(COUNTIFS(benchmark_results[round],$A86,benchmark_results[algo],E$30,benchmark_results[n_tracks],$B86,benchmark_results[target_s],$C86,benchmark_results[timed_out],TRUE)=1,"TO",SUMIFS(benchmark_results[runtime_s],benchmark_results[round],$A86,benchmark_results[algo],E$30,benchmark_results[n_tracks],$B86,benchmark_results[target_s],$C86))</f>
        <v>TO</v>
      </c>
      <c r="F86" s="10">
        <f>IF(COUNTIFS(benchmark_results[round],$A86,benchmark_results[algo],F$30,benchmark_results[n_tracks],$B86,benchmark_results[target_s],$C86,benchmark_results[timed_out],TRUE)=1,"TO",SUMIFS(benchmark_results[runtime_s],benchmark_results[round],$A86,benchmark_results[algo],F$30,benchmark_results[n_tracks],$B86,benchmark_results[target_s],$C86))</f>
        <v>4.2534899999736808E-2</v>
      </c>
      <c r="G86" s="10">
        <f>IF(COUNTIFS(benchmark_results[round],$A86,benchmark_results[algo],G$30,benchmark_results[n_tracks],$B86,benchmark_results[target_s],$C86,benchmark_results[timed_out],TRUE)=1,"TO",SUMIFS(benchmark_results[runtime_s],benchmark_results[round],$A86,benchmark_results[algo],G$30,benchmark_results[n_tracks],$B86,benchmark_results[target_s],$C86))</f>
        <v>1.7455399996833876E-2</v>
      </c>
      <c r="H86" s="19">
        <f t="shared" si="3"/>
        <v>2.4367760124346587</v>
      </c>
      <c r="I86" t="str">
        <f t="shared" si="4"/>
        <v>v4</v>
      </c>
      <c r="J86">
        <f>SUMIFS(benchmark_results[gap_s],benchmark_results[round],$A86,benchmark_results[algo],$F$30,benchmark_results[n_tracks],$B86,benchmark_results[target_s],$C86)</f>
        <v>24</v>
      </c>
      <c r="K86">
        <f>SUMIFS(benchmark_results[gap_s],benchmark_results[round],$A86,benchmark_results[algo],$G$30,benchmark_results[n_tracks],$B86,benchmark_results[target_s],$C86)</f>
        <v>0</v>
      </c>
    </row>
    <row r="87" spans="1:11" x14ac:dyDescent="0.3">
      <c r="A87">
        <f t="shared" si="2"/>
        <v>1</v>
      </c>
      <c r="B87" cm="1">
        <f t="array" ref="B87">INDEX('By Size'!$A$5:$A$10,MOD(ROW()-31,6)+1)</f>
        <v>50</v>
      </c>
      <c r="C87" cm="1">
        <f t="array" ref="C87">INDEX('By Target'!$A$5:$A$9,INT(MOD(ROW()-31,30)/6)+1)</f>
        <v>7200</v>
      </c>
      <c r="D87" s="10">
        <f>IF(COUNTIFS(benchmark_results[round],$A87,benchmark_results[algo],D$30,benchmark_results[n_tracks],$B87,benchmark_results[target_s],$C87,benchmark_results[timed_out],TRUE)=1,"TO",SUMIFS(benchmark_results[runtime_s],benchmark_results[round],$A87,benchmark_results[algo],D$30,benchmark_results[n_tracks],$B87,benchmark_results[target_s],$C87))</f>
        <v>6.5999993239529431E-5</v>
      </c>
      <c r="E87" s="10" t="str">
        <f>IF(COUNTIFS(benchmark_results[round],$A87,benchmark_results[algo],E$30,benchmark_results[n_tracks],$B87,benchmark_results[target_s],$C87,benchmark_results[timed_out],TRUE)=1,"TO",SUMIFS(benchmark_results[runtime_s],benchmark_results[round],$A87,benchmark_results[algo],E$30,benchmark_results[n_tracks],$B87,benchmark_results[target_s],$C87))</f>
        <v>TO</v>
      </c>
      <c r="F87" s="10">
        <f>IF(COUNTIFS(benchmark_results[round],$A87,benchmark_results[algo],F$30,benchmark_results[n_tracks],$B87,benchmark_results[target_s],$C87,benchmark_results[timed_out],TRUE)=1,"TO",SUMIFS(benchmark_results[runtime_s],benchmark_results[round],$A87,benchmark_results[algo],F$30,benchmark_results[n_tracks],$B87,benchmark_results[target_s],$C87))</f>
        <v>0.16530780000903178</v>
      </c>
      <c r="G87" s="10">
        <f>IF(COUNTIFS(benchmark_results[round],$A87,benchmark_results[algo],G$30,benchmark_results[n_tracks],$B87,benchmark_results[target_s],$C87,benchmark_results[timed_out],TRUE)=1,"TO",SUMIFS(benchmark_results[runtime_s],benchmark_results[round],$A87,benchmark_results[algo],G$30,benchmark_results[n_tracks],$B87,benchmark_results[target_s],$C87))</f>
        <v>7.3383800001465715E-2</v>
      </c>
      <c r="H87" s="19">
        <f t="shared" si="3"/>
        <v>2.2526470420682774</v>
      </c>
      <c r="I87" t="str">
        <f t="shared" si="4"/>
        <v>v1</v>
      </c>
      <c r="J87">
        <f>SUMIFS(benchmark_results[gap_s],benchmark_results[round],$A87,benchmark_results[algo],$F$30,benchmark_results[n_tracks],$B87,benchmark_results[target_s],$C87)</f>
        <v>0</v>
      </c>
      <c r="K87">
        <f>SUMIFS(benchmark_results[gap_s],benchmark_results[round],$A87,benchmark_results[algo],$G$30,benchmark_results[n_tracks],$B87,benchmark_results[target_s],$C87)</f>
        <v>0</v>
      </c>
    </row>
    <row r="88" spans="1:11" x14ac:dyDescent="0.3">
      <c r="A88">
        <f t="shared" si="2"/>
        <v>1</v>
      </c>
      <c r="B88" cm="1">
        <f t="array" ref="B88">INDEX('By Size'!$A$5:$A$10,MOD(ROW()-31,6)+1)</f>
        <v>100</v>
      </c>
      <c r="C88" cm="1">
        <f t="array" ref="C88">INDEX('By Target'!$A$5:$A$9,INT(MOD(ROW()-31,30)/6)+1)</f>
        <v>7200</v>
      </c>
      <c r="D88" s="10">
        <f>IF(COUNTIFS(benchmark_results[round],$A88,benchmark_results[algo],D$30,benchmark_results[n_tracks],$B88,benchmark_results[target_s],$C88,benchmark_results[timed_out],TRUE)=1,"TO",SUMIFS(benchmark_results[runtime_s],benchmark_results[round],$A88,benchmark_results[algo],D$30,benchmark_results[n_tracks],$B88,benchmark_results[target_s],$C88))</f>
        <v>2.1720000950153917E-4</v>
      </c>
      <c r="E88" s="10" t="str">
        <f>IF(COUNTIFS(benchmark_results[round],$A88,benchmark_results[algo],E$30,benchmark_results[n_tracks],$B88,benchmark_results[target_s],$C88,benchmark_results[timed_out],TRUE)=1,"TO",SUMIFS(benchmark_results[runtime_s],benchmark_results[round],$A88,benchmark_results[algo],E$30,benchmark_results[n_tracks],$B88,benchmark_results[target_s],$C88))</f>
        <v>TO</v>
      </c>
      <c r="F88" s="10">
        <f>IF(COUNTIFS(benchmark_results[round],$A88,benchmark_results[algo],F$30,benchmark_results[n_tracks],$B88,benchmark_results[target_s],$C88,benchmark_results[timed_out],TRUE)=1,"TO",SUMIFS(benchmark_results[runtime_s],benchmark_results[round],$A88,benchmark_results[algo],F$30,benchmark_results[n_tracks],$B88,benchmark_results[target_s],$C88))</f>
        <v>0.62735880000400357</v>
      </c>
      <c r="G88" s="10">
        <f>IF(COUNTIFS(benchmark_results[round],$A88,benchmark_results[algo],G$30,benchmark_results[n_tracks],$B88,benchmark_results[target_s],$C88,benchmark_results[timed_out],TRUE)=1,"TO",SUMIFS(benchmark_results[runtime_s],benchmark_results[round],$A88,benchmark_results[algo],G$30,benchmark_results[n_tracks],$B88,benchmark_results[target_s],$C88))</f>
        <v>0.21641209999506827</v>
      </c>
      <c r="H88" s="19">
        <f t="shared" si="3"/>
        <v>2.8989081480115955</v>
      </c>
      <c r="I88" t="str">
        <f t="shared" si="4"/>
        <v>v1</v>
      </c>
      <c r="J88">
        <f>SUMIFS(benchmark_results[gap_s],benchmark_results[round],$A88,benchmark_results[algo],$F$30,benchmark_results[n_tracks],$B88,benchmark_results[target_s],$C88)</f>
        <v>0</v>
      </c>
      <c r="K88">
        <f>SUMIFS(benchmark_results[gap_s],benchmark_results[round],$A88,benchmark_results[algo],$G$30,benchmark_results[n_tracks],$B88,benchmark_results[target_s],$C88)</f>
        <v>0</v>
      </c>
    </row>
    <row r="89" spans="1:11" x14ac:dyDescent="0.3">
      <c r="A89">
        <f t="shared" si="2"/>
        <v>1</v>
      </c>
      <c r="B89" cm="1">
        <f t="array" ref="B89">INDEX('By Size'!$A$5:$A$10,MOD(ROW()-31,6)+1)</f>
        <v>200</v>
      </c>
      <c r="C89" cm="1">
        <f t="array" ref="C89">INDEX('By Target'!$A$5:$A$9,INT(MOD(ROW()-31,30)/6)+1)</f>
        <v>7200</v>
      </c>
      <c r="D89" s="10">
        <f>IF(COUNTIFS(benchmark_results[round],$A89,benchmark_results[algo],D$30,benchmark_results[n_tracks],$B89,benchmark_results[target_s],$C89,benchmark_results[timed_out],TRUE)=1,"TO",SUMIFS(benchmark_results[runtime_s],benchmark_results[round],$A89,benchmark_results[algo],D$30,benchmark_results[n_tracks],$B89,benchmark_results[target_s],$C89))</f>
        <v>4.6460000157821923E-4</v>
      </c>
      <c r="E89" s="10" t="str">
        <f>IF(COUNTIFS(benchmark_results[round],$A89,benchmark_results[algo],E$30,benchmark_results[n_tracks],$B89,benchmark_results[target_s],$C89,benchmark_results[timed_out],TRUE)=1,"TO",SUMIFS(benchmark_results[runtime_s],benchmark_results[round],$A89,benchmark_results[algo],E$30,benchmark_results[n_tracks],$B89,benchmark_results[target_s],$C89))</f>
        <v>TO</v>
      </c>
      <c r="F89" s="10">
        <f>IF(COUNTIFS(benchmark_results[round],$A89,benchmark_results[algo],F$30,benchmark_results[n_tracks],$B89,benchmark_results[target_s],$C89,benchmark_results[timed_out],TRUE)=1,"TO",SUMIFS(benchmark_results[runtime_s],benchmark_results[round],$A89,benchmark_results[algo],F$30,benchmark_results[n_tracks],$B89,benchmark_results[target_s],$C89))</f>
        <v>1.2961281000025338</v>
      </c>
      <c r="G89" s="10">
        <f>IF(COUNTIFS(benchmark_results[round],$A89,benchmark_results[algo],G$30,benchmark_results[n_tracks],$B89,benchmark_results[target_s],$C89,benchmark_results[timed_out],TRUE)=1,"TO",SUMIFS(benchmark_results[runtime_s],benchmark_results[round],$A89,benchmark_results[algo],G$30,benchmark_results[n_tracks],$B89,benchmark_results[target_s],$C89))</f>
        <v>0.67888750000565778</v>
      </c>
      <c r="H89" s="19">
        <f t="shared" si="3"/>
        <v>1.9091942332002458</v>
      </c>
      <c r="I89" t="str">
        <f t="shared" si="4"/>
        <v>v1</v>
      </c>
      <c r="J89">
        <f>SUMIFS(benchmark_results[gap_s],benchmark_results[round],$A89,benchmark_results[algo],$F$30,benchmark_results[n_tracks],$B89,benchmark_results[target_s],$C89)</f>
        <v>0</v>
      </c>
      <c r="K89">
        <f>SUMIFS(benchmark_results[gap_s],benchmark_results[round],$A89,benchmark_results[algo],$G$30,benchmark_results[n_tracks],$B89,benchmark_results[target_s],$C89)</f>
        <v>0</v>
      </c>
    </row>
    <row r="90" spans="1:11" x14ac:dyDescent="0.3">
      <c r="A90">
        <f t="shared" si="2"/>
        <v>1</v>
      </c>
      <c r="B90" cm="1">
        <f t="array" ref="B90">INDEX('By Size'!$A$5:$A$10,MOD(ROW()-31,6)+1)</f>
        <v>400</v>
      </c>
      <c r="C90" cm="1">
        <f t="array" ref="C90">INDEX('By Target'!$A$5:$A$9,INT(MOD(ROW()-31,30)/6)+1)</f>
        <v>7200</v>
      </c>
      <c r="D90" s="10">
        <f>IF(COUNTIFS(benchmark_results[round],$A90,benchmark_results[algo],D$30,benchmark_results[n_tracks],$B90,benchmark_results[target_s],$C90,benchmark_results[timed_out],TRUE)=1,"TO",SUMIFS(benchmark_results[runtime_s],benchmark_results[round],$A90,benchmark_results[algo],D$30,benchmark_results[n_tracks],$B90,benchmark_results[target_s],$C90))</f>
        <v>1.6392000106861815E-3</v>
      </c>
      <c r="E90" s="10" t="str">
        <f>IF(COUNTIFS(benchmark_results[round],$A90,benchmark_results[algo],E$30,benchmark_results[n_tracks],$B90,benchmark_results[target_s],$C90,benchmark_results[timed_out],TRUE)=1,"TO",SUMIFS(benchmark_results[runtime_s],benchmark_results[round],$A90,benchmark_results[algo],E$30,benchmark_results[n_tracks],$B90,benchmark_results[target_s],$C90))</f>
        <v>TO</v>
      </c>
      <c r="F90" s="10">
        <f>IF(COUNTIFS(benchmark_results[round],$A90,benchmark_results[algo],F$30,benchmark_results[n_tracks],$B90,benchmark_results[target_s],$C90,benchmark_results[timed_out],TRUE)=1,"TO",SUMIFS(benchmark_results[runtime_s],benchmark_results[round],$A90,benchmark_results[algo],F$30,benchmark_results[n_tracks],$B90,benchmark_results[target_s],$C90))</f>
        <v>3.7174423999967985</v>
      </c>
      <c r="G90" s="10">
        <f>IF(COUNTIFS(benchmark_results[round],$A90,benchmark_results[algo],G$30,benchmark_results[n_tracks],$B90,benchmark_results[target_s],$C90,benchmark_results[timed_out],TRUE)=1,"TO",SUMIFS(benchmark_results[runtime_s],benchmark_results[round],$A90,benchmark_results[algo],G$30,benchmark_results[n_tracks],$B90,benchmark_results[target_s],$C90))</f>
        <v>0.96811290000914596</v>
      </c>
      <c r="H90" s="19">
        <f t="shared" si="3"/>
        <v>3.8398852034320368</v>
      </c>
      <c r="I90" t="str">
        <f t="shared" si="4"/>
        <v>v1</v>
      </c>
      <c r="J90">
        <f>SUMIFS(benchmark_results[gap_s],benchmark_results[round],$A90,benchmark_results[algo],$F$30,benchmark_results[n_tracks],$B90,benchmark_results[target_s],$C90)</f>
        <v>0</v>
      </c>
      <c r="K90">
        <f>SUMIFS(benchmark_results[gap_s],benchmark_results[round],$A90,benchmark_results[algo],$G$30,benchmark_results[n_tracks],$B90,benchmark_results[target_s],$C90)</f>
        <v>0</v>
      </c>
    </row>
    <row r="91" spans="1:11" x14ac:dyDescent="0.3">
      <c r="A91">
        <f t="shared" si="2"/>
        <v>2</v>
      </c>
      <c r="B91" cm="1">
        <f t="array" ref="B91">INDEX('By Size'!$A$5:$A$10,MOD(ROW()-31,6)+1)</f>
        <v>10</v>
      </c>
      <c r="C91" cm="1">
        <f t="array" ref="C91">INDEX('By Target'!$A$5:$A$9,INT(MOD(ROW()-31,30)/6)+1)</f>
        <v>300</v>
      </c>
      <c r="D91" s="10" t="str">
        <f>IF(COUNTIFS(benchmark_results[round],$A91,benchmark_results[algo],D$30,benchmark_results[n_tracks],$B91,benchmark_results[target_s],$C91,benchmark_results[timed_out],TRUE)=1,"TO",SUMIFS(benchmark_results[runtime_s],benchmark_results[round],$A91,benchmark_results[algo],D$30,benchmark_results[n_tracks],$B91,benchmark_results[target_s],$C91))</f>
        <v>TO</v>
      </c>
      <c r="E91" s="10">
        <f>IF(COUNTIFS(benchmark_results[round],$A91,benchmark_results[algo],E$30,benchmark_results[n_tracks],$B91,benchmark_results[target_s],$C91,benchmark_results[timed_out],TRUE)=1,"TO",SUMIFS(benchmark_results[runtime_s],benchmark_results[round],$A91,benchmark_results[algo],E$30,benchmark_results[n_tracks],$B91,benchmark_results[target_s],$C91))</f>
        <v>1.0059999476652592E-4</v>
      </c>
      <c r="F91" s="10">
        <f>IF(COUNTIFS(benchmark_results[round],$A91,benchmark_results[algo],F$30,benchmark_results[n_tracks],$B91,benchmark_results[target_s],$C91,benchmark_results[timed_out],TRUE)=1,"TO",SUMIFS(benchmark_results[runtime_s],benchmark_results[round],$A91,benchmark_results[algo],F$30,benchmark_results[n_tracks],$B91,benchmark_results[target_s],$C91))</f>
        <v>4.2899991967715323E-5</v>
      </c>
      <c r="G91" s="10">
        <f>IF(COUNTIFS(benchmark_results[round],$A91,benchmark_results[algo],G$30,benchmark_results[n_tracks],$B91,benchmark_results[target_s],$C91,benchmark_results[timed_out],TRUE)=1,"TO",SUMIFS(benchmark_results[runtime_s],benchmark_results[round],$A91,benchmark_results[algo],G$30,benchmark_results[n_tracks],$B91,benchmark_results[target_s],$C91))</f>
        <v>3.6299999919719994E-5</v>
      </c>
      <c r="H91" s="19">
        <f t="shared" si="3"/>
        <v>1.1818179631567955</v>
      </c>
      <c r="I91" t="str">
        <f t="shared" si="4"/>
        <v>v4</v>
      </c>
      <c r="J91">
        <f>SUMIFS(benchmark_results[gap_s],benchmark_results[round],$A91,benchmark_results[algo],$F$30,benchmark_results[n_tracks],$B91,benchmark_results[target_s],$C91)</f>
        <v>7</v>
      </c>
      <c r="K91">
        <f>SUMIFS(benchmark_results[gap_s],benchmark_results[round],$A91,benchmark_results[algo],$G$30,benchmark_results[n_tracks],$B91,benchmark_results[target_s],$C91)</f>
        <v>7</v>
      </c>
    </row>
    <row r="92" spans="1:11" x14ac:dyDescent="0.3">
      <c r="A92">
        <f t="shared" si="2"/>
        <v>2</v>
      </c>
      <c r="B92" cm="1">
        <f t="array" ref="B92">INDEX('By Size'!$A$5:$A$10,MOD(ROW()-31,6)+1)</f>
        <v>30</v>
      </c>
      <c r="C92" cm="1">
        <f t="array" ref="C92">INDEX('By Target'!$A$5:$A$9,INT(MOD(ROW()-31,30)/6)+1)</f>
        <v>300</v>
      </c>
      <c r="D92" s="10" t="str">
        <f>IF(COUNTIFS(benchmark_results[round],$A92,benchmark_results[algo],D$30,benchmark_results[n_tracks],$B92,benchmark_results[target_s],$C92,benchmark_results[timed_out],TRUE)=1,"TO",SUMIFS(benchmark_results[runtime_s],benchmark_results[round],$A92,benchmark_results[algo],D$30,benchmark_results[n_tracks],$B92,benchmark_results[target_s],$C92))</f>
        <v>TO</v>
      </c>
      <c r="E92" s="10">
        <f>IF(COUNTIFS(benchmark_results[round],$A92,benchmark_results[algo],E$30,benchmark_results[n_tracks],$B92,benchmark_results[target_s],$C92,benchmark_results[timed_out],TRUE)=1,"TO",SUMIFS(benchmark_results[runtime_s],benchmark_results[round],$A92,benchmark_results[algo],E$30,benchmark_results[n_tracks],$B92,benchmark_results[target_s],$C92))</f>
        <v>2.3185999889392406E-3</v>
      </c>
      <c r="F92" s="10">
        <f>IF(COUNTIFS(benchmark_results[round],$A92,benchmark_results[algo],F$30,benchmark_results[n_tracks],$B92,benchmark_results[target_s],$C92,benchmark_results[timed_out],TRUE)=1,"TO",SUMIFS(benchmark_results[runtime_s],benchmark_results[round],$A92,benchmark_results[algo],F$30,benchmark_results[n_tracks],$B92,benchmark_results[target_s],$C92))</f>
        <v>2.7589999081101269E-4</v>
      </c>
      <c r="G92" s="10">
        <f>IF(COUNTIFS(benchmark_results[round],$A92,benchmark_results[algo],G$30,benchmark_results[n_tracks],$B92,benchmark_results[target_s],$C92,benchmark_results[timed_out],TRUE)=1,"TO",SUMIFS(benchmark_results[runtime_s],benchmark_results[round],$A92,benchmark_results[algo],G$30,benchmark_results[n_tracks],$B92,benchmark_results[target_s],$C92))</f>
        <v>2.7260000933893025E-4</v>
      </c>
      <c r="H92" s="19">
        <f t="shared" si="3"/>
        <v>1.0121055809208703</v>
      </c>
      <c r="I92" t="str">
        <f t="shared" si="4"/>
        <v>v4</v>
      </c>
      <c r="J92">
        <f>SUMIFS(benchmark_results[gap_s],benchmark_results[round],$A92,benchmark_results[algo],$F$30,benchmark_results[n_tracks],$B92,benchmark_results[target_s],$C92)</f>
        <v>0</v>
      </c>
      <c r="K92">
        <f>SUMIFS(benchmark_results[gap_s],benchmark_results[round],$A92,benchmark_results[algo],$G$30,benchmark_results[n_tracks],$B92,benchmark_results[target_s],$C92)</f>
        <v>0</v>
      </c>
    </row>
    <row r="93" spans="1:11" x14ac:dyDescent="0.3">
      <c r="A93">
        <f t="shared" si="2"/>
        <v>2</v>
      </c>
      <c r="B93" cm="1">
        <f t="array" ref="B93">INDEX('By Size'!$A$5:$A$10,MOD(ROW()-31,6)+1)</f>
        <v>50</v>
      </c>
      <c r="C93" cm="1">
        <f t="array" ref="C93">INDEX('By Target'!$A$5:$A$9,INT(MOD(ROW()-31,30)/6)+1)</f>
        <v>300</v>
      </c>
      <c r="D93" s="10" t="str">
        <f>IF(COUNTIFS(benchmark_results[round],$A93,benchmark_results[algo],D$30,benchmark_results[n_tracks],$B93,benchmark_results[target_s],$C93,benchmark_results[timed_out],TRUE)=1,"TO",SUMIFS(benchmark_results[runtime_s],benchmark_results[round],$A93,benchmark_results[algo],D$30,benchmark_results[n_tracks],$B93,benchmark_results[target_s],$C93))</f>
        <v>TO</v>
      </c>
      <c r="E93" s="10">
        <f>IF(COUNTIFS(benchmark_results[round],$A93,benchmark_results[algo],E$30,benchmark_results[n_tracks],$B93,benchmark_results[target_s],$C93,benchmark_results[timed_out],TRUE)=1,"TO",SUMIFS(benchmark_results[runtime_s],benchmark_results[round],$A93,benchmark_results[algo],E$30,benchmark_results[n_tracks],$B93,benchmark_results[target_s],$C93))</f>
        <v>4.2757200004416518E-2</v>
      </c>
      <c r="F93" s="10">
        <f>IF(COUNTIFS(benchmark_results[round],$A93,benchmark_results[algo],F$30,benchmark_results[n_tracks],$B93,benchmark_results[target_s],$C93,benchmark_results[timed_out],TRUE)=1,"TO",SUMIFS(benchmark_results[runtime_s],benchmark_results[round],$A93,benchmark_results[algo],F$30,benchmark_results[n_tracks],$B93,benchmark_results[target_s],$C93))</f>
        <v>9.2889998632017523E-4</v>
      </c>
      <c r="G93" s="10">
        <f>IF(COUNTIFS(benchmark_results[round],$A93,benchmark_results[algo],G$30,benchmark_results[n_tracks],$B93,benchmark_results[target_s],$C93,benchmark_results[timed_out],TRUE)=1,"TO",SUMIFS(benchmark_results[runtime_s],benchmark_results[round],$A93,benchmark_results[algo],G$30,benchmark_results[n_tracks],$B93,benchmark_results[target_s],$C93))</f>
        <v>5.9670000337064266E-4</v>
      </c>
      <c r="H93" s="19">
        <f t="shared" si="3"/>
        <v>1.556728642656275</v>
      </c>
      <c r="I93" t="str">
        <f t="shared" si="4"/>
        <v>v4</v>
      </c>
      <c r="J93">
        <f>SUMIFS(benchmark_results[gap_s],benchmark_results[round],$A93,benchmark_results[algo],$F$30,benchmark_results[n_tracks],$B93,benchmark_results[target_s],$C93)</f>
        <v>0</v>
      </c>
      <c r="K93">
        <f>SUMIFS(benchmark_results[gap_s],benchmark_results[round],$A93,benchmark_results[algo],$G$30,benchmark_results[n_tracks],$B93,benchmark_results[target_s],$C93)</f>
        <v>0</v>
      </c>
    </row>
    <row r="94" spans="1:11" x14ac:dyDescent="0.3">
      <c r="A94">
        <f t="shared" si="2"/>
        <v>2</v>
      </c>
      <c r="B94" cm="1">
        <f t="array" ref="B94">INDEX('By Size'!$A$5:$A$10,MOD(ROW()-31,6)+1)</f>
        <v>100</v>
      </c>
      <c r="C94" cm="1">
        <f t="array" ref="C94">INDEX('By Target'!$A$5:$A$9,INT(MOD(ROW()-31,30)/6)+1)</f>
        <v>300</v>
      </c>
      <c r="D94" s="10" t="str">
        <f>IF(COUNTIFS(benchmark_results[round],$A94,benchmark_results[algo],D$30,benchmark_results[n_tracks],$B94,benchmark_results[target_s],$C94,benchmark_results[timed_out],TRUE)=1,"TO",SUMIFS(benchmark_results[runtime_s],benchmark_results[round],$A94,benchmark_results[algo],D$30,benchmark_results[n_tracks],$B94,benchmark_results[target_s],$C94))</f>
        <v>TO</v>
      </c>
      <c r="E94" s="10">
        <f>IF(COUNTIFS(benchmark_results[round],$A94,benchmark_results[algo],E$30,benchmark_results[n_tracks],$B94,benchmark_results[target_s],$C94,benchmark_results[timed_out],TRUE)=1,"TO",SUMIFS(benchmark_results[runtime_s],benchmark_results[round],$A94,benchmark_results[algo],E$30,benchmark_results[n_tracks],$B94,benchmark_results[target_s],$C94))</f>
        <v>0.32438479999837</v>
      </c>
      <c r="F94" s="10">
        <f>IF(COUNTIFS(benchmark_results[round],$A94,benchmark_results[algo],F$30,benchmark_results[n_tracks],$B94,benchmark_results[target_s],$C94,benchmark_results[timed_out],TRUE)=1,"TO",SUMIFS(benchmark_results[runtime_s],benchmark_results[round],$A94,benchmark_results[algo],F$30,benchmark_results[n_tracks],$B94,benchmark_results[target_s],$C94))</f>
        <v>3.6512999940896407E-3</v>
      </c>
      <c r="G94" s="10">
        <f>IF(COUNTIFS(benchmark_results[round],$A94,benchmark_results[algo],G$30,benchmark_results[n_tracks],$B94,benchmark_results[target_s],$C94,benchmark_results[timed_out],TRUE)=1,"TO",SUMIFS(benchmark_results[runtime_s],benchmark_results[round],$A94,benchmark_results[algo],G$30,benchmark_results[n_tracks],$B94,benchmark_results[target_s],$C94))</f>
        <v>1.3410000101430342E-3</v>
      </c>
      <c r="H94" s="19">
        <f t="shared" si="3"/>
        <v>2.7228187669440693</v>
      </c>
      <c r="I94" t="str">
        <f t="shared" si="4"/>
        <v>v4</v>
      </c>
      <c r="J94">
        <f>SUMIFS(benchmark_results[gap_s],benchmark_results[round],$A94,benchmark_results[algo],$F$30,benchmark_results[n_tracks],$B94,benchmark_results[target_s],$C94)</f>
        <v>0</v>
      </c>
      <c r="K94">
        <f>SUMIFS(benchmark_results[gap_s],benchmark_results[round],$A94,benchmark_results[algo],$G$30,benchmark_results[n_tracks],$B94,benchmark_results[target_s],$C94)</f>
        <v>0</v>
      </c>
    </row>
    <row r="95" spans="1:11" x14ac:dyDescent="0.3">
      <c r="A95">
        <f t="shared" si="2"/>
        <v>2</v>
      </c>
      <c r="B95" cm="1">
        <f t="array" ref="B95">INDEX('By Size'!$A$5:$A$10,MOD(ROW()-31,6)+1)</f>
        <v>200</v>
      </c>
      <c r="C95" cm="1">
        <f t="array" ref="C95">INDEX('By Target'!$A$5:$A$9,INT(MOD(ROW()-31,30)/6)+1)</f>
        <v>300</v>
      </c>
      <c r="D95" s="10">
        <f>IF(COUNTIFS(benchmark_results[round],$A95,benchmark_results[algo],D$30,benchmark_results[n_tracks],$B95,benchmark_results[target_s],$C95,benchmark_results[timed_out],TRUE)=1,"TO",SUMIFS(benchmark_results[runtime_s],benchmark_results[round],$A95,benchmark_results[algo],D$30,benchmark_results[n_tracks],$B95,benchmark_results[target_s],$C95))</f>
        <v>1.2740999954985455E-3</v>
      </c>
      <c r="E95" s="10" t="str">
        <f>IF(COUNTIFS(benchmark_results[round],$A95,benchmark_results[algo],E$30,benchmark_results[n_tracks],$B95,benchmark_results[target_s],$C95,benchmark_results[timed_out],TRUE)=1,"TO",SUMIFS(benchmark_results[runtime_s],benchmark_results[round],$A95,benchmark_results[algo],E$30,benchmark_results[n_tracks],$B95,benchmark_results[target_s],$C95))</f>
        <v>TO</v>
      </c>
      <c r="F95" s="10">
        <f>IF(COUNTIFS(benchmark_results[round],$A95,benchmark_results[algo],F$30,benchmark_results[n_tracks],$B95,benchmark_results[target_s],$C95,benchmark_results[timed_out],TRUE)=1,"TO",SUMIFS(benchmark_results[runtime_s],benchmark_results[round],$A95,benchmark_results[algo],F$30,benchmark_results[n_tracks],$B95,benchmark_results[target_s],$C95))</f>
        <v>6.5771000081440434E-3</v>
      </c>
      <c r="G95" s="10">
        <f>IF(COUNTIFS(benchmark_results[round],$A95,benchmark_results[algo],G$30,benchmark_results[n_tracks],$B95,benchmark_results[target_s],$C95,benchmark_results[timed_out],TRUE)=1,"TO",SUMIFS(benchmark_results[runtime_s],benchmark_results[round],$A95,benchmark_results[algo],G$30,benchmark_results[n_tracks],$B95,benchmark_results[target_s],$C95))</f>
        <v>3.5300999879837036E-3</v>
      </c>
      <c r="H95" s="19">
        <f t="shared" si="3"/>
        <v>1.8631483613869824</v>
      </c>
      <c r="I95" t="str">
        <f t="shared" si="4"/>
        <v>v1</v>
      </c>
      <c r="J95">
        <f>SUMIFS(benchmark_results[gap_s],benchmark_results[round],$A95,benchmark_results[algo],$F$30,benchmark_results[n_tracks],$B95,benchmark_results[target_s],$C95)</f>
        <v>0</v>
      </c>
      <c r="K95">
        <f>SUMIFS(benchmark_results[gap_s],benchmark_results[round],$A95,benchmark_results[algo],$G$30,benchmark_results[n_tracks],$B95,benchmark_results[target_s],$C95)</f>
        <v>0</v>
      </c>
    </row>
    <row r="96" spans="1:11" x14ac:dyDescent="0.3">
      <c r="A96">
        <f t="shared" ref="A96:A159" si="5">INT((ROW()-31)/30)</f>
        <v>2</v>
      </c>
      <c r="B96" cm="1">
        <f t="array" ref="B96">INDEX('By Size'!$A$5:$A$10,MOD(ROW()-31,6)+1)</f>
        <v>400</v>
      </c>
      <c r="C96" cm="1">
        <f t="array" ref="C96">INDEX('By Target'!$A$5:$A$9,INT(MOD(ROW()-31,30)/6)+1)</f>
        <v>300</v>
      </c>
      <c r="D96" s="10">
        <f>IF(COUNTIFS(benchmark_results[round],$A96,benchmark_results[algo],D$30,benchmark_results[n_tracks],$B96,benchmark_results[target_s],$C96,benchmark_results[timed_out],TRUE)=1,"TO",SUMIFS(benchmark_results[runtime_s],benchmark_results[round],$A96,benchmark_results[algo],D$30,benchmark_results[n_tracks],$B96,benchmark_results[target_s],$C96))</f>
        <v>9.5999988843686879E-5</v>
      </c>
      <c r="E96" s="10" t="str">
        <f>IF(COUNTIFS(benchmark_results[round],$A96,benchmark_results[algo],E$30,benchmark_results[n_tracks],$B96,benchmark_results[target_s],$C96,benchmark_results[timed_out],TRUE)=1,"TO",SUMIFS(benchmark_results[runtime_s],benchmark_results[round],$A96,benchmark_results[algo],E$30,benchmark_results[n_tracks],$B96,benchmark_results[target_s],$C96))</f>
        <v>TO</v>
      </c>
      <c r="F96" s="10">
        <f>IF(COUNTIFS(benchmark_results[round],$A96,benchmark_results[algo],F$30,benchmark_results[n_tracks],$B96,benchmark_results[target_s],$C96,benchmark_results[timed_out],TRUE)=1,"TO",SUMIFS(benchmark_results[runtime_s],benchmark_results[round],$A96,benchmark_results[algo],F$30,benchmark_results[n_tracks],$B96,benchmark_results[target_s],$C96))</f>
        <v>1.4741099992534146E-2</v>
      </c>
      <c r="G96" s="10">
        <f>IF(COUNTIFS(benchmark_results[round],$A96,benchmark_results[algo],G$30,benchmark_results[n_tracks],$B96,benchmark_results[target_s],$C96,benchmark_results[timed_out],TRUE)=1,"TO",SUMIFS(benchmark_results[runtime_s],benchmark_results[round],$A96,benchmark_results[algo],G$30,benchmark_results[n_tracks],$B96,benchmark_results[target_s],$C96))</f>
        <v>9.9153000046499074E-3</v>
      </c>
      <c r="H96" s="19">
        <f t="shared" ref="H96:H159" si="6">IFERROR($F96/$G96,"n/a")</f>
        <v>1.4867023676158178</v>
      </c>
      <c r="I96" t="str">
        <f t="shared" ref="I96:I159" si="7">SUBSTITUTE(INDEX($D$30:$G$30,MATCH(MIN($D96:$G96),$D96:$G96,0)),"design_playlist_","")</f>
        <v>v1</v>
      </c>
      <c r="J96">
        <f>SUMIFS(benchmark_results[gap_s],benchmark_results[round],$A96,benchmark_results[algo],$F$30,benchmark_results[n_tracks],$B96,benchmark_results[target_s],$C96)</f>
        <v>0</v>
      </c>
      <c r="K96">
        <f>SUMIFS(benchmark_results[gap_s],benchmark_results[round],$A96,benchmark_results[algo],$G$30,benchmark_results[n_tracks],$B96,benchmark_results[target_s],$C96)</f>
        <v>0</v>
      </c>
    </row>
    <row r="97" spans="1:11" x14ac:dyDescent="0.3">
      <c r="A97">
        <f t="shared" si="5"/>
        <v>2</v>
      </c>
      <c r="B97" cm="1">
        <f t="array" ref="B97">INDEX('By Size'!$A$5:$A$10,MOD(ROW()-31,6)+1)</f>
        <v>10</v>
      </c>
      <c r="C97" cm="1">
        <f t="array" ref="C97">INDEX('By Target'!$A$5:$A$9,INT(MOD(ROW()-31,30)/6)+1)</f>
        <v>600</v>
      </c>
      <c r="D97" s="10" t="str">
        <f>IF(COUNTIFS(benchmark_results[round],$A97,benchmark_results[algo],D$30,benchmark_results[n_tracks],$B97,benchmark_results[target_s],$C97,benchmark_results[timed_out],TRUE)=1,"TO",SUMIFS(benchmark_results[runtime_s],benchmark_results[round],$A97,benchmark_results[algo],D$30,benchmark_results[n_tracks],$B97,benchmark_results[target_s],$C97))</f>
        <v>TO</v>
      </c>
      <c r="E97" s="10">
        <f>IF(COUNTIFS(benchmark_results[round],$A97,benchmark_results[algo],E$30,benchmark_results[n_tracks],$B97,benchmark_results[target_s],$C97,benchmark_results[timed_out],TRUE)=1,"TO",SUMIFS(benchmark_results[runtime_s],benchmark_results[round],$A97,benchmark_results[algo],E$30,benchmark_results[n_tracks],$B97,benchmark_results[target_s],$C97))</f>
        <v>2.0679998851846904E-4</v>
      </c>
      <c r="F97" s="10">
        <f>IF(COUNTIFS(benchmark_results[round],$A97,benchmark_results[algo],F$30,benchmark_results[n_tracks],$B97,benchmark_results[target_s],$C97,benchmark_results[timed_out],TRUE)=1,"TO",SUMIFS(benchmark_results[runtime_s],benchmark_results[round],$A97,benchmark_results[algo],F$30,benchmark_results[n_tracks],$B97,benchmark_results[target_s],$C97))</f>
        <v>1.0160000238101929E-4</v>
      </c>
      <c r="G97" s="10">
        <f>IF(COUNTIFS(benchmark_results[round],$A97,benchmark_results[algo],G$30,benchmark_results[n_tracks],$B97,benchmark_results[target_s],$C97,benchmark_results[timed_out],TRUE)=1,"TO",SUMIFS(benchmark_results[runtime_s],benchmark_results[round],$A97,benchmark_results[algo],G$30,benchmark_results[n_tracks],$B97,benchmark_results[target_s],$C97))</f>
        <v>7.6299998909235001E-5</v>
      </c>
      <c r="H97" s="19">
        <f t="shared" si="6"/>
        <v>1.3315858955893392</v>
      </c>
      <c r="I97" t="str">
        <f t="shared" si="7"/>
        <v>v4</v>
      </c>
      <c r="J97">
        <f>SUMIFS(benchmark_results[gap_s],benchmark_results[round],$A97,benchmark_results[algo],$F$30,benchmark_results[n_tracks],$B97,benchmark_results[target_s],$C97)</f>
        <v>1</v>
      </c>
      <c r="K97">
        <f>SUMIFS(benchmark_results[gap_s],benchmark_results[round],$A97,benchmark_results[algo],$G$30,benchmark_results[n_tracks],$B97,benchmark_results[target_s],$C97)</f>
        <v>1</v>
      </c>
    </row>
    <row r="98" spans="1:11" x14ac:dyDescent="0.3">
      <c r="A98">
        <f t="shared" si="5"/>
        <v>2</v>
      </c>
      <c r="B98" cm="1">
        <f t="array" ref="B98">INDEX('By Size'!$A$5:$A$10,MOD(ROW()-31,6)+1)</f>
        <v>30</v>
      </c>
      <c r="C98" cm="1">
        <f t="array" ref="C98">INDEX('By Target'!$A$5:$A$9,INT(MOD(ROW()-31,30)/6)+1)</f>
        <v>600</v>
      </c>
      <c r="D98" s="10" t="str">
        <f>IF(COUNTIFS(benchmark_results[round],$A98,benchmark_results[algo],D$30,benchmark_results[n_tracks],$B98,benchmark_results[target_s],$C98,benchmark_results[timed_out],TRUE)=1,"TO",SUMIFS(benchmark_results[runtime_s],benchmark_results[round],$A98,benchmark_results[algo],D$30,benchmark_results[n_tracks],$B98,benchmark_results[target_s],$C98))</f>
        <v>TO</v>
      </c>
      <c r="E98" s="10">
        <f>IF(COUNTIFS(benchmark_results[round],$A98,benchmark_results[algo],E$30,benchmark_results[n_tracks],$B98,benchmark_results[target_s],$C98,benchmark_results[timed_out],TRUE)=1,"TO",SUMIFS(benchmark_results[runtime_s],benchmark_results[round],$A98,benchmark_results[algo],E$30,benchmark_results[n_tracks],$B98,benchmark_results[target_s],$C98))</f>
        <v>2.1591099997749552E-2</v>
      </c>
      <c r="F98" s="10">
        <f>IF(COUNTIFS(benchmark_results[round],$A98,benchmark_results[algo],F$30,benchmark_results[n_tracks],$B98,benchmark_results[target_s],$C98,benchmark_results[timed_out],TRUE)=1,"TO",SUMIFS(benchmark_results[runtime_s],benchmark_results[round],$A98,benchmark_results[algo],F$30,benchmark_results[n_tracks],$B98,benchmark_results[target_s],$C98))</f>
        <v>1.673800012213178E-3</v>
      </c>
      <c r="G98" s="10">
        <f>IF(COUNTIFS(benchmark_results[round],$A98,benchmark_results[algo],G$30,benchmark_results[n_tracks],$B98,benchmark_results[target_s],$C98,benchmark_results[timed_out],TRUE)=1,"TO",SUMIFS(benchmark_results[runtime_s],benchmark_results[round],$A98,benchmark_results[algo],G$30,benchmark_results[n_tracks],$B98,benchmark_results[target_s],$C98))</f>
        <v>8.9600001228973269E-4</v>
      </c>
      <c r="H98" s="19">
        <f t="shared" si="6"/>
        <v>1.868080345150636</v>
      </c>
      <c r="I98" t="str">
        <f t="shared" si="7"/>
        <v>v4</v>
      </c>
      <c r="J98">
        <f>SUMIFS(benchmark_results[gap_s],benchmark_results[round],$A98,benchmark_results[algo],$F$30,benchmark_results[n_tracks],$B98,benchmark_results[target_s],$C98)</f>
        <v>0</v>
      </c>
      <c r="K98">
        <f>SUMIFS(benchmark_results[gap_s],benchmark_results[round],$A98,benchmark_results[algo],$G$30,benchmark_results[n_tracks],$B98,benchmark_results[target_s],$C98)</f>
        <v>0</v>
      </c>
    </row>
    <row r="99" spans="1:11" x14ac:dyDescent="0.3">
      <c r="A99">
        <f t="shared" si="5"/>
        <v>2</v>
      </c>
      <c r="B99" cm="1">
        <f t="array" ref="B99">INDEX('By Size'!$A$5:$A$10,MOD(ROW()-31,6)+1)</f>
        <v>50</v>
      </c>
      <c r="C99" cm="1">
        <f t="array" ref="C99">INDEX('By Target'!$A$5:$A$9,INT(MOD(ROW()-31,30)/6)+1)</f>
        <v>600</v>
      </c>
      <c r="D99" s="10" t="str">
        <f>IF(COUNTIFS(benchmark_results[round],$A99,benchmark_results[algo],D$30,benchmark_results[n_tracks],$B99,benchmark_results[target_s],$C99,benchmark_results[timed_out],TRUE)=1,"TO",SUMIFS(benchmark_results[runtime_s],benchmark_results[round],$A99,benchmark_results[algo],D$30,benchmark_results[n_tracks],$B99,benchmark_results[target_s],$C99))</f>
        <v>TO</v>
      </c>
      <c r="E99" s="10">
        <f>IF(COUNTIFS(benchmark_results[round],$A99,benchmark_results[algo],E$30,benchmark_results[n_tracks],$B99,benchmark_results[target_s],$C99,benchmark_results[timed_out],TRUE)=1,"TO",SUMIFS(benchmark_results[runtime_s],benchmark_results[round],$A99,benchmark_results[algo],E$30,benchmark_results[n_tracks],$B99,benchmark_results[target_s],$C99))</f>
        <v>0.39688390000083018</v>
      </c>
      <c r="F99" s="10">
        <f>IF(COUNTIFS(benchmark_results[round],$A99,benchmark_results[algo],F$30,benchmark_results[n_tracks],$B99,benchmark_results[target_s],$C99,benchmark_results[timed_out],TRUE)=1,"TO",SUMIFS(benchmark_results[runtime_s],benchmark_results[round],$A99,benchmark_results[algo],F$30,benchmark_results[n_tracks],$B99,benchmark_results[target_s],$C99))</f>
        <v>3.1042000045999885E-3</v>
      </c>
      <c r="G99" s="10">
        <f>IF(COUNTIFS(benchmark_results[round],$A99,benchmark_results[algo],G$30,benchmark_results[n_tracks],$B99,benchmark_results[target_s],$C99,benchmark_results[timed_out],TRUE)=1,"TO",SUMIFS(benchmark_results[runtime_s],benchmark_results[round],$A99,benchmark_results[algo],G$30,benchmark_results[n_tracks],$B99,benchmark_results[target_s],$C99))</f>
        <v>2.3314000136451796E-3</v>
      </c>
      <c r="H99" s="19">
        <f t="shared" si="6"/>
        <v>1.3314746446048631</v>
      </c>
      <c r="I99" t="str">
        <f t="shared" si="7"/>
        <v>v4</v>
      </c>
      <c r="J99">
        <f>SUMIFS(benchmark_results[gap_s],benchmark_results[round],$A99,benchmark_results[algo],$F$30,benchmark_results[n_tracks],$B99,benchmark_results[target_s],$C99)</f>
        <v>0</v>
      </c>
      <c r="K99">
        <f>SUMIFS(benchmark_results[gap_s],benchmark_results[round],$A99,benchmark_results[algo],$G$30,benchmark_results[n_tracks],$B99,benchmark_results[target_s],$C99)</f>
        <v>0</v>
      </c>
    </row>
    <row r="100" spans="1:11" x14ac:dyDescent="0.3">
      <c r="A100">
        <f t="shared" si="5"/>
        <v>2</v>
      </c>
      <c r="B100" cm="1">
        <f t="array" ref="B100">INDEX('By Size'!$A$5:$A$10,MOD(ROW()-31,6)+1)</f>
        <v>100</v>
      </c>
      <c r="C100" cm="1">
        <f t="array" ref="C100">INDEX('By Target'!$A$5:$A$9,INT(MOD(ROW()-31,30)/6)+1)</f>
        <v>600</v>
      </c>
      <c r="D100" s="10">
        <f>IF(COUNTIFS(benchmark_results[round],$A100,benchmark_results[algo],D$30,benchmark_results[n_tracks],$B100,benchmark_results[target_s],$C100,benchmark_results[timed_out],TRUE)=1,"TO",SUMIFS(benchmark_results[runtime_s],benchmark_results[round],$A100,benchmark_results[algo],D$30,benchmark_results[n_tracks],$B100,benchmark_results[target_s],$C100))</f>
        <v>1.0678999999072403E-2</v>
      </c>
      <c r="E100" s="10" t="str">
        <f>IF(COUNTIFS(benchmark_results[round],$A100,benchmark_results[algo],E$30,benchmark_results[n_tracks],$B100,benchmark_results[target_s],$C100,benchmark_results[timed_out],TRUE)=1,"TO",SUMIFS(benchmark_results[runtime_s],benchmark_results[round],$A100,benchmark_results[algo],E$30,benchmark_results[n_tracks],$B100,benchmark_results[target_s],$C100))</f>
        <v>TO</v>
      </c>
      <c r="F100" s="10">
        <f>IF(COUNTIFS(benchmark_results[round],$A100,benchmark_results[algo],F$30,benchmark_results[n_tracks],$B100,benchmark_results[target_s],$C100,benchmark_results[timed_out],TRUE)=1,"TO",SUMIFS(benchmark_results[runtime_s],benchmark_results[round],$A100,benchmark_results[algo],F$30,benchmark_results[n_tracks],$B100,benchmark_results[target_s],$C100))</f>
        <v>1.0615699997288175E-2</v>
      </c>
      <c r="G100" s="10">
        <f>IF(COUNTIFS(benchmark_results[round],$A100,benchmark_results[algo],G$30,benchmark_results[n_tracks],$B100,benchmark_results[target_s],$C100,benchmark_results[timed_out],TRUE)=1,"TO",SUMIFS(benchmark_results[runtime_s],benchmark_results[round],$A100,benchmark_results[algo],G$30,benchmark_results[n_tracks],$B100,benchmark_results[target_s],$C100))</f>
        <v>5.1126000034855679E-3</v>
      </c>
      <c r="H100" s="19">
        <f t="shared" si="6"/>
        <v>2.0763799221630506</v>
      </c>
      <c r="I100" t="str">
        <f t="shared" si="7"/>
        <v>v4</v>
      </c>
      <c r="J100">
        <f>SUMIFS(benchmark_results[gap_s],benchmark_results[round],$A100,benchmark_results[algo],$F$30,benchmark_results[n_tracks],$B100,benchmark_results[target_s],$C100)</f>
        <v>0</v>
      </c>
      <c r="K100">
        <f>SUMIFS(benchmark_results[gap_s],benchmark_results[round],$A100,benchmark_results[algo],$G$30,benchmark_results[n_tracks],$B100,benchmark_results[target_s],$C100)</f>
        <v>0</v>
      </c>
    </row>
    <row r="101" spans="1:11" x14ac:dyDescent="0.3">
      <c r="A101">
        <f t="shared" si="5"/>
        <v>2</v>
      </c>
      <c r="B101" cm="1">
        <f t="array" ref="B101">INDEX('By Size'!$A$5:$A$10,MOD(ROW()-31,6)+1)</f>
        <v>200</v>
      </c>
      <c r="C101" cm="1">
        <f t="array" ref="C101">INDEX('By Target'!$A$5:$A$9,INT(MOD(ROW()-31,30)/6)+1)</f>
        <v>600</v>
      </c>
      <c r="D101" s="10">
        <f>IF(COUNTIFS(benchmark_results[round],$A101,benchmark_results[algo],D$30,benchmark_results[n_tracks],$B101,benchmark_results[target_s],$C101,benchmark_results[timed_out],TRUE)=1,"TO",SUMIFS(benchmark_results[runtime_s],benchmark_results[round],$A101,benchmark_results[algo],D$30,benchmark_results[n_tracks],$B101,benchmark_results[target_s],$C101))</f>
        <v>4.7137000074144453E-3</v>
      </c>
      <c r="E101" s="10" t="str">
        <f>IF(COUNTIFS(benchmark_results[round],$A101,benchmark_results[algo],E$30,benchmark_results[n_tracks],$B101,benchmark_results[target_s],$C101,benchmark_results[timed_out],TRUE)=1,"TO",SUMIFS(benchmark_results[runtime_s],benchmark_results[round],$A101,benchmark_results[algo],E$30,benchmark_results[n_tracks],$B101,benchmark_results[target_s],$C101))</f>
        <v>TO</v>
      </c>
      <c r="F101" s="10">
        <f>IF(COUNTIFS(benchmark_results[round],$A101,benchmark_results[algo],F$30,benchmark_results[n_tracks],$B101,benchmark_results[target_s],$C101,benchmark_results[timed_out],TRUE)=1,"TO",SUMIFS(benchmark_results[runtime_s],benchmark_results[round],$A101,benchmark_results[algo],F$30,benchmark_results[n_tracks],$B101,benchmark_results[target_s],$C101))</f>
        <v>2.6756499995826744E-2</v>
      </c>
      <c r="G101" s="10">
        <f>IF(COUNTIFS(benchmark_results[round],$A101,benchmark_results[algo],G$30,benchmark_results[n_tracks],$B101,benchmark_results[target_s],$C101,benchmark_results[timed_out],TRUE)=1,"TO",SUMIFS(benchmark_results[runtime_s],benchmark_results[round],$A101,benchmark_results[algo],G$30,benchmark_results[n_tracks],$B101,benchmark_results[target_s],$C101))</f>
        <v>1.1136300003272481E-2</v>
      </c>
      <c r="H101" s="19">
        <f t="shared" si="6"/>
        <v>2.4026382180763948</v>
      </c>
      <c r="I101" t="str">
        <f t="shared" si="7"/>
        <v>v1</v>
      </c>
      <c r="J101">
        <f>SUMIFS(benchmark_results[gap_s],benchmark_results[round],$A101,benchmark_results[algo],$F$30,benchmark_results[n_tracks],$B101,benchmark_results[target_s],$C101)</f>
        <v>0</v>
      </c>
      <c r="K101">
        <f>SUMIFS(benchmark_results[gap_s],benchmark_results[round],$A101,benchmark_results[algo],$G$30,benchmark_results[n_tracks],$B101,benchmark_results[target_s],$C101)</f>
        <v>0</v>
      </c>
    </row>
    <row r="102" spans="1:11" x14ac:dyDescent="0.3">
      <c r="A102">
        <f t="shared" si="5"/>
        <v>2</v>
      </c>
      <c r="B102" cm="1">
        <f t="array" ref="B102">INDEX('By Size'!$A$5:$A$10,MOD(ROW()-31,6)+1)</f>
        <v>400</v>
      </c>
      <c r="C102" cm="1">
        <f t="array" ref="C102">INDEX('By Target'!$A$5:$A$9,INT(MOD(ROW()-31,30)/6)+1)</f>
        <v>600</v>
      </c>
      <c r="D102" s="10">
        <f>IF(COUNTIFS(benchmark_results[round],$A102,benchmark_results[algo],D$30,benchmark_results[n_tracks],$B102,benchmark_results[target_s],$C102,benchmark_results[timed_out],TRUE)=1,"TO",SUMIFS(benchmark_results[runtime_s],benchmark_results[round],$A102,benchmark_results[algo],D$30,benchmark_results[n_tracks],$B102,benchmark_results[target_s],$C102))</f>
        <v>7.1770000795368105E-4</v>
      </c>
      <c r="E102" s="10" t="str">
        <f>IF(COUNTIFS(benchmark_results[round],$A102,benchmark_results[algo],E$30,benchmark_results[n_tracks],$B102,benchmark_results[target_s],$C102,benchmark_results[timed_out],TRUE)=1,"TO",SUMIFS(benchmark_results[runtime_s],benchmark_results[round],$A102,benchmark_results[algo],E$30,benchmark_results[n_tracks],$B102,benchmark_results[target_s],$C102))</f>
        <v>TO</v>
      </c>
      <c r="F102" s="10">
        <f>IF(COUNTIFS(benchmark_results[round],$A102,benchmark_results[algo],F$30,benchmark_results[n_tracks],$B102,benchmark_results[target_s],$C102,benchmark_results[timed_out],TRUE)=1,"TO",SUMIFS(benchmark_results[runtime_s],benchmark_results[round],$A102,benchmark_results[algo],F$30,benchmark_results[n_tracks],$B102,benchmark_results[target_s],$C102))</f>
        <v>9.6106600001803599E-2</v>
      </c>
      <c r="G102" s="10">
        <f>IF(COUNTIFS(benchmark_results[round],$A102,benchmark_results[algo],G$30,benchmark_results[n_tracks],$B102,benchmark_results[target_s],$C102,benchmark_results[timed_out],TRUE)=1,"TO",SUMIFS(benchmark_results[runtime_s],benchmark_results[round],$A102,benchmark_results[algo],G$30,benchmark_results[n_tracks],$B102,benchmark_results[target_s],$C102))</f>
        <v>2.3996399992029183E-2</v>
      </c>
      <c r="H102" s="19">
        <f t="shared" si="6"/>
        <v>4.0050424244356266</v>
      </c>
      <c r="I102" t="str">
        <f t="shared" si="7"/>
        <v>v1</v>
      </c>
      <c r="J102">
        <f>SUMIFS(benchmark_results[gap_s],benchmark_results[round],$A102,benchmark_results[algo],$F$30,benchmark_results[n_tracks],$B102,benchmark_results[target_s],$C102)</f>
        <v>0</v>
      </c>
      <c r="K102">
        <f>SUMIFS(benchmark_results[gap_s],benchmark_results[round],$A102,benchmark_results[algo],$G$30,benchmark_results[n_tracks],$B102,benchmark_results[target_s],$C102)</f>
        <v>0</v>
      </c>
    </row>
    <row r="103" spans="1:11" x14ac:dyDescent="0.3">
      <c r="A103">
        <f t="shared" si="5"/>
        <v>2</v>
      </c>
      <c r="B103" cm="1">
        <f t="array" ref="B103">INDEX('By Size'!$A$5:$A$10,MOD(ROW()-31,6)+1)</f>
        <v>10</v>
      </c>
      <c r="C103" cm="1">
        <f t="array" ref="C103">INDEX('By Target'!$A$5:$A$9,INT(MOD(ROW()-31,30)/6)+1)</f>
        <v>1200</v>
      </c>
      <c r="D103" s="10" t="str">
        <f>IF(COUNTIFS(benchmark_results[round],$A103,benchmark_results[algo],D$30,benchmark_results[n_tracks],$B103,benchmark_results[target_s],$C103,benchmark_results[timed_out],TRUE)=1,"TO",SUMIFS(benchmark_results[runtime_s],benchmark_results[round],$A103,benchmark_results[algo],D$30,benchmark_results[n_tracks],$B103,benchmark_results[target_s],$C103))</f>
        <v>TO</v>
      </c>
      <c r="E103" s="10">
        <f>IF(COUNTIFS(benchmark_results[round],$A103,benchmark_results[algo],E$30,benchmark_results[n_tracks],$B103,benchmark_results[target_s],$C103,benchmark_results[timed_out],TRUE)=1,"TO",SUMIFS(benchmark_results[runtime_s],benchmark_results[round],$A103,benchmark_results[algo],E$30,benchmark_results[n_tracks],$B103,benchmark_results[target_s],$C103))</f>
        <v>7.3489999340381473E-4</v>
      </c>
      <c r="F103" s="10">
        <f>IF(COUNTIFS(benchmark_results[round],$A103,benchmark_results[algo],F$30,benchmark_results[n_tracks],$B103,benchmark_results[target_s],$C103,benchmark_results[timed_out],TRUE)=1,"TO",SUMIFS(benchmark_results[runtime_s],benchmark_results[round],$A103,benchmark_results[algo],F$30,benchmark_results[n_tracks],$B103,benchmark_results[target_s],$C103))</f>
        <v>4.0099999750964344E-4</v>
      </c>
      <c r="G103" s="10">
        <f>IF(COUNTIFS(benchmark_results[round],$A103,benchmark_results[algo],G$30,benchmark_results[n_tracks],$B103,benchmark_results[target_s],$C103,benchmark_results[timed_out],TRUE)=1,"TO",SUMIFS(benchmark_results[runtime_s],benchmark_results[round],$A103,benchmark_results[algo],G$30,benchmark_results[n_tracks],$B103,benchmark_results[target_s],$C103))</f>
        <v>4.3810000352095813E-4</v>
      </c>
      <c r="H103" s="19">
        <f t="shared" si="6"/>
        <v>0.91531612482733093</v>
      </c>
      <c r="I103" t="str">
        <f t="shared" si="7"/>
        <v>v3</v>
      </c>
      <c r="J103">
        <f>SUMIFS(benchmark_results[gap_s],benchmark_results[round],$A103,benchmark_results[algo],$F$30,benchmark_results[n_tracks],$B103,benchmark_results[target_s],$C103)</f>
        <v>0</v>
      </c>
      <c r="K103">
        <f>SUMIFS(benchmark_results[gap_s],benchmark_results[round],$A103,benchmark_results[algo],$G$30,benchmark_results[n_tracks],$B103,benchmark_results[target_s],$C103)</f>
        <v>0</v>
      </c>
    </row>
    <row r="104" spans="1:11" x14ac:dyDescent="0.3">
      <c r="A104">
        <f t="shared" si="5"/>
        <v>2</v>
      </c>
      <c r="B104" cm="1">
        <f t="array" ref="B104">INDEX('By Size'!$A$5:$A$10,MOD(ROW()-31,6)+1)</f>
        <v>30</v>
      </c>
      <c r="C104" cm="1">
        <f t="array" ref="C104">INDEX('By Target'!$A$5:$A$9,INT(MOD(ROW()-31,30)/6)+1)</f>
        <v>1200</v>
      </c>
      <c r="D104" s="10">
        <f>IF(COUNTIFS(benchmark_results[round],$A104,benchmark_results[algo],D$30,benchmark_results[n_tracks],$B104,benchmark_results[target_s],$C104,benchmark_results[timed_out],TRUE)=1,"TO",SUMIFS(benchmark_results[runtime_s],benchmark_results[round],$A104,benchmark_results[algo],D$30,benchmark_results[n_tracks],$B104,benchmark_results[target_s],$C104))</f>
        <v>2.6110000908374786E-4</v>
      </c>
      <c r="E104" s="10">
        <f>IF(COUNTIFS(benchmark_results[round],$A104,benchmark_results[algo],E$30,benchmark_results[n_tracks],$B104,benchmark_results[target_s],$C104,benchmark_results[timed_out],TRUE)=1,"TO",SUMIFS(benchmark_results[runtime_s],benchmark_results[round],$A104,benchmark_results[algo],E$30,benchmark_results[n_tracks],$B104,benchmark_results[target_s],$C104))</f>
        <v>7.0573738999955822</v>
      </c>
      <c r="F104" s="10">
        <f>IF(COUNTIFS(benchmark_results[round],$A104,benchmark_results[algo],F$30,benchmark_results[n_tracks],$B104,benchmark_results[target_s],$C104,benchmark_results[timed_out],TRUE)=1,"TO",SUMIFS(benchmark_results[runtime_s],benchmark_results[round],$A104,benchmark_results[algo],F$30,benchmark_results[n_tracks],$B104,benchmark_results[target_s],$C104))</f>
        <v>9.0800000034505501E-3</v>
      </c>
      <c r="G104" s="10">
        <f>IF(COUNTIFS(benchmark_results[round],$A104,benchmark_results[algo],G$30,benchmark_results[n_tracks],$B104,benchmark_results[target_s],$C104,benchmark_results[timed_out],TRUE)=1,"TO",SUMIFS(benchmark_results[runtime_s],benchmark_results[round],$A104,benchmark_results[algo],G$30,benchmark_results[n_tracks],$B104,benchmark_results[target_s],$C104))</f>
        <v>3.0897000106051564E-3</v>
      </c>
      <c r="H104" s="19">
        <f t="shared" si="6"/>
        <v>2.9387966379532484</v>
      </c>
      <c r="I104" t="str">
        <f t="shared" si="7"/>
        <v>v1</v>
      </c>
      <c r="J104">
        <f>SUMIFS(benchmark_results[gap_s],benchmark_results[round],$A104,benchmark_results[algo],$F$30,benchmark_results[n_tracks],$B104,benchmark_results[target_s],$C104)</f>
        <v>0</v>
      </c>
      <c r="K104">
        <f>SUMIFS(benchmark_results[gap_s],benchmark_results[round],$A104,benchmark_results[algo],$G$30,benchmark_results[n_tracks],$B104,benchmark_results[target_s],$C104)</f>
        <v>0</v>
      </c>
    </row>
    <row r="105" spans="1:11" x14ac:dyDescent="0.3">
      <c r="A105">
        <f t="shared" si="5"/>
        <v>2</v>
      </c>
      <c r="B105" cm="1">
        <f t="array" ref="B105">INDEX('By Size'!$A$5:$A$10,MOD(ROW()-31,6)+1)</f>
        <v>50</v>
      </c>
      <c r="C105" cm="1">
        <f t="array" ref="C105">INDEX('By Target'!$A$5:$A$9,INT(MOD(ROW()-31,30)/6)+1)</f>
        <v>1200</v>
      </c>
      <c r="D105" s="10">
        <f>IF(COUNTIFS(benchmark_results[round],$A105,benchmark_results[algo],D$30,benchmark_results[n_tracks],$B105,benchmark_results[target_s],$C105,benchmark_results[timed_out],TRUE)=1,"TO",SUMIFS(benchmark_results[runtime_s],benchmark_results[round],$A105,benchmark_results[algo],D$30,benchmark_results[n_tracks],$B105,benchmark_results[target_s],$C105))</f>
        <v>1.0900000052060932E-3</v>
      </c>
      <c r="E105" s="10" t="str">
        <f>IF(COUNTIFS(benchmark_results[round],$A105,benchmark_results[algo],E$30,benchmark_results[n_tracks],$B105,benchmark_results[target_s],$C105,benchmark_results[timed_out],TRUE)=1,"TO",SUMIFS(benchmark_results[runtime_s],benchmark_results[round],$A105,benchmark_results[algo],E$30,benchmark_results[n_tracks],$B105,benchmark_results[target_s],$C105))</f>
        <v>TO</v>
      </c>
      <c r="F105" s="10">
        <f>IF(COUNTIFS(benchmark_results[round],$A105,benchmark_results[algo],F$30,benchmark_results[n_tracks],$B105,benchmark_results[target_s],$C105,benchmark_results[timed_out],TRUE)=1,"TO",SUMIFS(benchmark_results[runtime_s],benchmark_results[round],$A105,benchmark_results[algo],F$30,benchmark_results[n_tracks],$B105,benchmark_results[target_s],$C105))</f>
        <v>3.2336800009943545E-2</v>
      </c>
      <c r="G105" s="10">
        <f>IF(COUNTIFS(benchmark_results[round],$A105,benchmark_results[algo],G$30,benchmark_results[n_tracks],$B105,benchmark_results[target_s],$C105,benchmark_results[timed_out],TRUE)=1,"TO",SUMIFS(benchmark_results[runtime_s],benchmark_results[round],$A105,benchmark_results[algo],G$30,benchmark_results[n_tracks],$B105,benchmark_results[target_s],$C105))</f>
        <v>6.375199998728931E-3</v>
      </c>
      <c r="H105" s="19">
        <f t="shared" si="6"/>
        <v>5.0722800879016754</v>
      </c>
      <c r="I105" t="str">
        <f t="shared" si="7"/>
        <v>v1</v>
      </c>
      <c r="J105">
        <f>SUMIFS(benchmark_results[gap_s],benchmark_results[round],$A105,benchmark_results[algo],$F$30,benchmark_results[n_tracks],$B105,benchmark_results[target_s],$C105)</f>
        <v>0</v>
      </c>
      <c r="K105">
        <f>SUMIFS(benchmark_results[gap_s],benchmark_results[round],$A105,benchmark_results[algo],$G$30,benchmark_results[n_tracks],$B105,benchmark_results[target_s],$C105)</f>
        <v>0</v>
      </c>
    </row>
    <row r="106" spans="1:11" x14ac:dyDescent="0.3">
      <c r="A106">
        <f t="shared" si="5"/>
        <v>2</v>
      </c>
      <c r="B106" cm="1">
        <f t="array" ref="B106">INDEX('By Size'!$A$5:$A$10,MOD(ROW()-31,6)+1)</f>
        <v>100</v>
      </c>
      <c r="C106" cm="1">
        <f t="array" ref="C106">INDEX('By Target'!$A$5:$A$9,INT(MOD(ROW()-31,30)/6)+1)</f>
        <v>1200</v>
      </c>
      <c r="D106" s="10">
        <f>IF(COUNTIFS(benchmark_results[round],$A106,benchmark_results[algo],D$30,benchmark_results[n_tracks],$B106,benchmark_results[target_s],$C106,benchmark_results[timed_out],TRUE)=1,"TO",SUMIFS(benchmark_results[runtime_s],benchmark_results[round],$A106,benchmark_results[algo],D$30,benchmark_results[n_tracks],$B106,benchmark_results[target_s],$C106))</f>
        <v>2.0501000108197331E-3</v>
      </c>
      <c r="E106" s="10" t="str">
        <f>IF(COUNTIFS(benchmark_results[round],$A106,benchmark_results[algo],E$30,benchmark_results[n_tracks],$B106,benchmark_results[target_s],$C106,benchmark_results[timed_out],TRUE)=1,"TO",SUMIFS(benchmark_results[runtime_s],benchmark_results[round],$A106,benchmark_results[algo],E$30,benchmark_results[n_tracks],$B106,benchmark_results[target_s],$C106))</f>
        <v>TO</v>
      </c>
      <c r="F106" s="10">
        <f>IF(COUNTIFS(benchmark_results[round],$A106,benchmark_results[algo],F$30,benchmark_results[n_tracks],$B106,benchmark_results[target_s],$C106,benchmark_results[timed_out],TRUE)=1,"TO",SUMIFS(benchmark_results[runtime_s],benchmark_results[round],$A106,benchmark_results[algo],F$30,benchmark_results[n_tracks],$B106,benchmark_results[target_s],$C106))</f>
        <v>4.1201100000762381E-2</v>
      </c>
      <c r="G106" s="10">
        <f>IF(COUNTIFS(benchmark_results[round],$A106,benchmark_results[algo],G$30,benchmark_results[n_tracks],$B106,benchmark_results[target_s],$C106,benchmark_results[timed_out],TRUE)=1,"TO",SUMIFS(benchmark_results[runtime_s],benchmark_results[round],$A106,benchmark_results[algo],G$30,benchmark_results[n_tracks],$B106,benchmark_results[target_s],$C106))</f>
        <v>1.4512599998852238E-2</v>
      </c>
      <c r="H106" s="19">
        <f t="shared" si="6"/>
        <v>2.8389881898502587</v>
      </c>
      <c r="I106" t="str">
        <f t="shared" si="7"/>
        <v>v1</v>
      </c>
      <c r="J106">
        <f>SUMIFS(benchmark_results[gap_s],benchmark_results[round],$A106,benchmark_results[algo],$F$30,benchmark_results[n_tracks],$B106,benchmark_results[target_s],$C106)</f>
        <v>0</v>
      </c>
      <c r="K106">
        <f>SUMIFS(benchmark_results[gap_s],benchmark_results[round],$A106,benchmark_results[algo],$G$30,benchmark_results[n_tracks],$B106,benchmark_results[target_s],$C106)</f>
        <v>0</v>
      </c>
    </row>
    <row r="107" spans="1:11" x14ac:dyDescent="0.3">
      <c r="A107">
        <f t="shared" si="5"/>
        <v>2</v>
      </c>
      <c r="B107" cm="1">
        <f t="array" ref="B107">INDEX('By Size'!$A$5:$A$10,MOD(ROW()-31,6)+1)</f>
        <v>200</v>
      </c>
      <c r="C107" cm="1">
        <f t="array" ref="C107">INDEX('By Target'!$A$5:$A$9,INT(MOD(ROW()-31,30)/6)+1)</f>
        <v>1200</v>
      </c>
      <c r="D107" s="10">
        <f>IF(COUNTIFS(benchmark_results[round],$A107,benchmark_results[algo],D$30,benchmark_results[n_tracks],$B107,benchmark_results[target_s],$C107,benchmark_results[timed_out],TRUE)=1,"TO",SUMIFS(benchmark_results[runtime_s],benchmark_results[round],$A107,benchmark_results[algo],D$30,benchmark_results[n_tracks],$B107,benchmark_results[target_s],$C107))</f>
        <v>5.4799999634269625E-4</v>
      </c>
      <c r="E107" s="10" t="str">
        <f>IF(COUNTIFS(benchmark_results[round],$A107,benchmark_results[algo],E$30,benchmark_results[n_tracks],$B107,benchmark_results[target_s],$C107,benchmark_results[timed_out],TRUE)=1,"TO",SUMIFS(benchmark_results[runtime_s],benchmark_results[round],$A107,benchmark_results[algo],E$30,benchmark_results[n_tracks],$B107,benchmark_results[target_s],$C107))</f>
        <v>TO</v>
      </c>
      <c r="F107" s="10">
        <f>IF(COUNTIFS(benchmark_results[round],$A107,benchmark_results[algo],F$30,benchmark_results[n_tracks],$B107,benchmark_results[target_s],$C107,benchmark_results[timed_out],TRUE)=1,"TO",SUMIFS(benchmark_results[runtime_s],benchmark_results[round],$A107,benchmark_results[algo],F$30,benchmark_results[n_tracks],$B107,benchmark_results[target_s],$C107))</f>
        <v>9.7420899997814558E-2</v>
      </c>
      <c r="G107" s="10">
        <f>IF(COUNTIFS(benchmark_results[round],$A107,benchmark_results[algo],G$30,benchmark_results[n_tracks],$B107,benchmark_results[target_s],$C107,benchmark_results[timed_out],TRUE)=1,"TO",SUMIFS(benchmark_results[runtime_s],benchmark_results[round],$A107,benchmark_results[algo],G$30,benchmark_results[n_tracks],$B107,benchmark_results[target_s],$C107))</f>
        <v>2.5314500002423301E-2</v>
      </c>
      <c r="H107" s="19">
        <f t="shared" si="6"/>
        <v>3.8484228402097087</v>
      </c>
      <c r="I107" t="str">
        <f t="shared" si="7"/>
        <v>v1</v>
      </c>
      <c r="J107">
        <f>SUMIFS(benchmark_results[gap_s],benchmark_results[round],$A107,benchmark_results[algo],$F$30,benchmark_results[n_tracks],$B107,benchmark_results[target_s],$C107)</f>
        <v>0</v>
      </c>
      <c r="K107">
        <f>SUMIFS(benchmark_results[gap_s],benchmark_results[round],$A107,benchmark_results[algo],$G$30,benchmark_results[n_tracks],$B107,benchmark_results[target_s],$C107)</f>
        <v>0</v>
      </c>
    </row>
    <row r="108" spans="1:11" x14ac:dyDescent="0.3">
      <c r="A108">
        <f t="shared" si="5"/>
        <v>2</v>
      </c>
      <c r="B108" cm="1">
        <f t="array" ref="B108">INDEX('By Size'!$A$5:$A$10,MOD(ROW()-31,6)+1)</f>
        <v>400</v>
      </c>
      <c r="C108" cm="1">
        <f t="array" ref="C108">INDEX('By Target'!$A$5:$A$9,INT(MOD(ROW()-31,30)/6)+1)</f>
        <v>1200</v>
      </c>
      <c r="D108" s="10">
        <f>IF(COUNTIFS(benchmark_results[round],$A108,benchmark_results[algo],D$30,benchmark_results[n_tracks],$B108,benchmark_results[target_s],$C108,benchmark_results[timed_out],TRUE)=1,"TO",SUMIFS(benchmark_results[runtime_s],benchmark_results[round],$A108,benchmark_results[algo],D$30,benchmark_results[n_tracks],$B108,benchmark_results[target_s],$C108))</f>
        <v>8.9999999909196049E-4</v>
      </c>
      <c r="E108" s="10" t="str">
        <f>IF(COUNTIFS(benchmark_results[round],$A108,benchmark_results[algo],E$30,benchmark_results[n_tracks],$B108,benchmark_results[target_s],$C108,benchmark_results[timed_out],TRUE)=1,"TO",SUMIFS(benchmark_results[runtime_s],benchmark_results[round],$A108,benchmark_results[algo],E$30,benchmark_results[n_tracks],$B108,benchmark_results[target_s],$C108))</f>
        <v>TO</v>
      </c>
      <c r="F108" s="10">
        <f>IF(COUNTIFS(benchmark_results[round],$A108,benchmark_results[algo],F$30,benchmark_results[n_tracks],$B108,benchmark_results[target_s],$C108,benchmark_results[timed_out],TRUE)=1,"TO",SUMIFS(benchmark_results[runtime_s],benchmark_results[round],$A108,benchmark_results[algo],F$30,benchmark_results[n_tracks],$B108,benchmark_results[target_s],$C108))</f>
        <v>0.19200979999732226</v>
      </c>
      <c r="G108" s="10">
        <f>IF(COUNTIFS(benchmark_results[round],$A108,benchmark_results[algo],G$30,benchmark_results[n_tracks],$B108,benchmark_results[target_s],$C108,benchmark_results[timed_out],TRUE)=1,"TO",SUMIFS(benchmark_results[runtime_s],benchmark_results[round],$A108,benchmark_results[algo],G$30,benchmark_results[n_tracks],$B108,benchmark_results[target_s],$C108))</f>
        <v>5.8522499995888211E-2</v>
      </c>
      <c r="H108" s="19">
        <f t="shared" si="6"/>
        <v>3.2809568971047525</v>
      </c>
      <c r="I108" t="str">
        <f t="shared" si="7"/>
        <v>v1</v>
      </c>
      <c r="J108">
        <f>SUMIFS(benchmark_results[gap_s],benchmark_results[round],$A108,benchmark_results[algo],$F$30,benchmark_results[n_tracks],$B108,benchmark_results[target_s],$C108)</f>
        <v>0</v>
      </c>
      <c r="K108">
        <f>SUMIFS(benchmark_results[gap_s],benchmark_results[round],$A108,benchmark_results[algo],$G$30,benchmark_results[n_tracks],$B108,benchmark_results[target_s],$C108)</f>
        <v>0</v>
      </c>
    </row>
    <row r="109" spans="1:11" x14ac:dyDescent="0.3">
      <c r="A109">
        <f t="shared" si="5"/>
        <v>2</v>
      </c>
      <c r="B109" cm="1">
        <f t="array" ref="B109">INDEX('By Size'!$A$5:$A$10,MOD(ROW()-31,6)+1)</f>
        <v>10</v>
      </c>
      <c r="C109" cm="1">
        <f t="array" ref="C109">INDEX('By Target'!$A$5:$A$9,INT(MOD(ROW()-31,30)/6)+1)</f>
        <v>3600</v>
      </c>
      <c r="D109" s="10">
        <f>IF(COUNTIFS(benchmark_results[round],$A109,benchmark_results[algo],D$30,benchmark_results[n_tracks],$B109,benchmark_results[target_s],$C109,benchmark_results[timed_out],TRUE)=1,"TO",SUMIFS(benchmark_results[runtime_s],benchmark_results[round],$A109,benchmark_results[algo],D$30,benchmark_results[n_tracks],$B109,benchmark_results[target_s],$C109))</f>
        <v>2.0999999833293259E-5</v>
      </c>
      <c r="E109" s="10">
        <f>IF(COUNTIFS(benchmark_results[round],$A109,benchmark_results[algo],E$30,benchmark_results[n_tracks],$B109,benchmark_results[target_s],$C109,benchmark_results[timed_out],TRUE)=1,"TO",SUMIFS(benchmark_results[runtime_s],benchmark_results[round],$A109,benchmark_results[algo],E$30,benchmark_results[n_tracks],$B109,benchmark_results[target_s],$C109))</f>
        <v>6.2180000531952828E-4</v>
      </c>
      <c r="F109" s="10">
        <f>IF(COUNTIFS(benchmark_results[round],$A109,benchmark_results[algo],F$30,benchmark_results[n_tracks],$B109,benchmark_results[target_s],$C109,benchmark_results[timed_out],TRUE)=1,"TO",SUMIFS(benchmark_results[runtime_s],benchmark_results[round],$A109,benchmark_results[algo],F$30,benchmark_results[n_tracks],$B109,benchmark_results[target_s],$C109))</f>
        <v>4.5510000200010836E-4</v>
      </c>
      <c r="G109" s="10">
        <f>IF(COUNTIFS(benchmark_results[round],$A109,benchmark_results[algo],G$30,benchmark_results[n_tracks],$B109,benchmark_results[target_s],$C109,benchmark_results[timed_out],TRUE)=1,"TO",SUMIFS(benchmark_results[runtime_s],benchmark_results[round],$A109,benchmark_results[algo],G$30,benchmark_results[n_tracks],$B109,benchmark_results[target_s],$C109))</f>
        <v>4.535000043688342E-4</v>
      </c>
      <c r="H109" s="19">
        <f t="shared" si="6"/>
        <v>1.003528109406528</v>
      </c>
      <c r="I109" t="str">
        <f t="shared" si="7"/>
        <v>v1</v>
      </c>
      <c r="J109">
        <f>SUMIFS(benchmark_results[gap_s],benchmark_results[round],$A109,benchmark_results[algo],$F$30,benchmark_results[n_tracks],$B109,benchmark_results[target_s],$C109)</f>
        <v>1216</v>
      </c>
      <c r="K109">
        <f>SUMIFS(benchmark_results[gap_s],benchmark_results[round],$A109,benchmark_results[algo],$G$30,benchmark_results[n_tracks],$B109,benchmark_results[target_s],$C109)</f>
        <v>1103</v>
      </c>
    </row>
    <row r="110" spans="1:11" x14ac:dyDescent="0.3">
      <c r="A110">
        <f t="shared" si="5"/>
        <v>2</v>
      </c>
      <c r="B110" cm="1">
        <f t="array" ref="B110">INDEX('By Size'!$A$5:$A$10,MOD(ROW()-31,6)+1)</f>
        <v>30</v>
      </c>
      <c r="C110" cm="1">
        <f t="array" ref="C110">INDEX('By Target'!$A$5:$A$9,INT(MOD(ROW()-31,30)/6)+1)</f>
        <v>3600</v>
      </c>
      <c r="D110" s="10">
        <f>IF(COUNTIFS(benchmark_results[round],$A110,benchmark_results[algo],D$30,benchmark_results[n_tracks],$B110,benchmark_results[target_s],$C110,benchmark_results[timed_out],TRUE)=1,"TO",SUMIFS(benchmark_results[runtime_s],benchmark_results[round],$A110,benchmark_results[algo],D$30,benchmark_results[n_tracks],$B110,benchmark_results[target_s],$C110))</f>
        <v>1.0769999062176794E-4</v>
      </c>
      <c r="E110" s="10" t="str">
        <f>IF(COUNTIFS(benchmark_results[round],$A110,benchmark_results[algo],E$30,benchmark_results[n_tracks],$B110,benchmark_results[target_s],$C110,benchmark_results[timed_out],TRUE)=1,"TO",SUMIFS(benchmark_results[runtime_s],benchmark_results[round],$A110,benchmark_results[algo],E$30,benchmark_results[n_tracks],$B110,benchmark_results[target_s],$C110))</f>
        <v>TO</v>
      </c>
      <c r="F110" s="10">
        <f>IF(COUNTIFS(benchmark_results[round],$A110,benchmark_results[algo],F$30,benchmark_results[n_tracks],$B110,benchmark_results[target_s],$C110,benchmark_results[timed_out],TRUE)=1,"TO",SUMIFS(benchmark_results[runtime_s],benchmark_results[round],$A110,benchmark_results[algo],F$30,benchmark_results[n_tracks],$B110,benchmark_results[target_s],$C110))</f>
        <v>3.6057599994819611E-2</v>
      </c>
      <c r="G110" s="10">
        <f>IF(COUNTIFS(benchmark_results[round],$A110,benchmark_results[algo],G$30,benchmark_results[n_tracks],$B110,benchmark_results[target_s],$C110,benchmark_results[timed_out],TRUE)=1,"TO",SUMIFS(benchmark_results[runtime_s],benchmark_results[round],$A110,benchmark_results[algo],G$30,benchmark_results[n_tracks],$B110,benchmark_results[target_s],$C110))</f>
        <v>1.3471800004481338E-2</v>
      </c>
      <c r="H110" s="19">
        <f t="shared" si="6"/>
        <v>2.6765242939195359</v>
      </c>
      <c r="I110" t="str">
        <f t="shared" si="7"/>
        <v>v1</v>
      </c>
      <c r="J110">
        <f>SUMIFS(benchmark_results[gap_s],benchmark_results[round],$A110,benchmark_results[algo],$F$30,benchmark_results[n_tracks],$B110,benchmark_results[target_s],$C110)</f>
        <v>0</v>
      </c>
      <c r="K110">
        <f>SUMIFS(benchmark_results[gap_s],benchmark_results[round],$A110,benchmark_results[algo],$G$30,benchmark_results[n_tracks],$B110,benchmark_results[target_s],$C110)</f>
        <v>0</v>
      </c>
    </row>
    <row r="111" spans="1:11" x14ac:dyDescent="0.3">
      <c r="A111">
        <f t="shared" si="5"/>
        <v>2</v>
      </c>
      <c r="B111" cm="1">
        <f t="array" ref="B111">INDEX('By Size'!$A$5:$A$10,MOD(ROW()-31,6)+1)</f>
        <v>50</v>
      </c>
      <c r="C111" cm="1">
        <f t="array" ref="C111">INDEX('By Target'!$A$5:$A$9,INT(MOD(ROW()-31,30)/6)+1)</f>
        <v>3600</v>
      </c>
      <c r="D111" s="10">
        <f>IF(COUNTIFS(benchmark_results[round],$A111,benchmark_results[algo],D$30,benchmark_results[n_tracks],$B111,benchmark_results[target_s],$C111,benchmark_results[timed_out],TRUE)=1,"TO",SUMIFS(benchmark_results[runtime_s],benchmark_results[round],$A111,benchmark_results[algo],D$30,benchmark_results[n_tracks],$B111,benchmark_results[target_s],$C111))</f>
        <v>3.8779999886173755E-4</v>
      </c>
      <c r="E111" s="10" t="str">
        <f>IF(COUNTIFS(benchmark_results[round],$A111,benchmark_results[algo],E$30,benchmark_results[n_tracks],$B111,benchmark_results[target_s],$C111,benchmark_results[timed_out],TRUE)=1,"TO",SUMIFS(benchmark_results[runtime_s],benchmark_results[round],$A111,benchmark_results[algo],E$30,benchmark_results[n_tracks],$B111,benchmark_results[target_s],$C111))</f>
        <v>TO</v>
      </c>
      <c r="F111" s="10">
        <f>IF(COUNTIFS(benchmark_results[round],$A111,benchmark_results[algo],F$30,benchmark_results[n_tracks],$B111,benchmark_results[target_s],$C111,benchmark_results[timed_out],TRUE)=1,"TO",SUMIFS(benchmark_results[runtime_s],benchmark_results[round],$A111,benchmark_results[algo],F$30,benchmark_results[n_tracks],$B111,benchmark_results[target_s],$C111))</f>
        <v>8.4494199996697716E-2</v>
      </c>
      <c r="G111" s="10">
        <f>IF(COUNTIFS(benchmark_results[round],$A111,benchmark_results[algo],G$30,benchmark_results[n_tracks],$B111,benchmark_results[target_s],$C111,benchmark_results[timed_out],TRUE)=1,"TO",SUMIFS(benchmark_results[runtime_s],benchmark_results[round],$A111,benchmark_results[algo],G$30,benchmark_results[n_tracks],$B111,benchmark_results[target_s],$C111))</f>
        <v>2.3148599997512065E-2</v>
      </c>
      <c r="H111" s="19">
        <f t="shared" si="6"/>
        <v>3.6500781907233644</v>
      </c>
      <c r="I111" t="str">
        <f t="shared" si="7"/>
        <v>v1</v>
      </c>
      <c r="J111">
        <f>SUMIFS(benchmark_results[gap_s],benchmark_results[round],$A111,benchmark_results[algo],$F$30,benchmark_results[n_tracks],$B111,benchmark_results[target_s],$C111)</f>
        <v>0</v>
      </c>
      <c r="K111">
        <f>SUMIFS(benchmark_results[gap_s],benchmark_results[round],$A111,benchmark_results[algo],$G$30,benchmark_results[n_tracks],$B111,benchmark_results[target_s],$C111)</f>
        <v>0</v>
      </c>
    </row>
    <row r="112" spans="1:11" x14ac:dyDescent="0.3">
      <c r="A112">
        <f t="shared" si="5"/>
        <v>2</v>
      </c>
      <c r="B112" cm="1">
        <f t="array" ref="B112">INDEX('By Size'!$A$5:$A$10,MOD(ROW()-31,6)+1)</f>
        <v>100</v>
      </c>
      <c r="C112" cm="1">
        <f t="array" ref="C112">INDEX('By Target'!$A$5:$A$9,INT(MOD(ROW()-31,30)/6)+1)</f>
        <v>3600</v>
      </c>
      <c r="D112" s="10">
        <f>IF(COUNTIFS(benchmark_results[round],$A112,benchmark_results[algo],D$30,benchmark_results[n_tracks],$B112,benchmark_results[target_s],$C112,benchmark_results[timed_out],TRUE)=1,"TO",SUMIFS(benchmark_results[runtime_s],benchmark_results[round],$A112,benchmark_results[algo],D$30,benchmark_results[n_tracks],$B112,benchmark_results[target_s],$C112))</f>
        <v>7.5499992817640305E-5</v>
      </c>
      <c r="E112" s="10" t="str">
        <f>IF(COUNTIFS(benchmark_results[round],$A112,benchmark_results[algo],E$30,benchmark_results[n_tracks],$B112,benchmark_results[target_s],$C112,benchmark_results[timed_out],TRUE)=1,"TO",SUMIFS(benchmark_results[runtime_s],benchmark_results[round],$A112,benchmark_results[algo],E$30,benchmark_results[n_tracks],$B112,benchmark_results[target_s],$C112))</f>
        <v>TO</v>
      </c>
      <c r="F112" s="10">
        <f>IF(COUNTIFS(benchmark_results[round],$A112,benchmark_results[algo],F$30,benchmark_results[n_tracks],$B112,benchmark_results[target_s],$C112,benchmark_results[timed_out],TRUE)=1,"TO",SUMIFS(benchmark_results[runtime_s],benchmark_results[round],$A112,benchmark_results[algo],F$30,benchmark_results[n_tracks],$B112,benchmark_results[target_s],$C112))</f>
        <v>0.21186060000036377</v>
      </c>
      <c r="G112" s="10">
        <f>IF(COUNTIFS(benchmark_results[round],$A112,benchmark_results[algo],G$30,benchmark_results[n_tracks],$B112,benchmark_results[target_s],$C112,benchmark_results[timed_out],TRUE)=1,"TO",SUMIFS(benchmark_results[runtime_s],benchmark_results[round],$A112,benchmark_results[algo],G$30,benchmark_results[n_tracks],$B112,benchmark_results[target_s],$C112))</f>
        <v>6.4323600003262982E-2</v>
      </c>
      <c r="H112" s="19">
        <f t="shared" si="6"/>
        <v>3.293668264674499</v>
      </c>
      <c r="I112" t="str">
        <f t="shared" si="7"/>
        <v>v1</v>
      </c>
      <c r="J112">
        <f>SUMIFS(benchmark_results[gap_s],benchmark_results[round],$A112,benchmark_results[algo],$F$30,benchmark_results[n_tracks],$B112,benchmark_results[target_s],$C112)</f>
        <v>0</v>
      </c>
      <c r="K112">
        <f>SUMIFS(benchmark_results[gap_s],benchmark_results[round],$A112,benchmark_results[algo],$G$30,benchmark_results[n_tracks],$B112,benchmark_results[target_s],$C112)</f>
        <v>0</v>
      </c>
    </row>
    <row r="113" spans="1:11" x14ac:dyDescent="0.3">
      <c r="A113">
        <f t="shared" si="5"/>
        <v>2</v>
      </c>
      <c r="B113" cm="1">
        <f t="array" ref="B113">INDEX('By Size'!$A$5:$A$10,MOD(ROW()-31,6)+1)</f>
        <v>200</v>
      </c>
      <c r="C113" cm="1">
        <f t="array" ref="C113">INDEX('By Target'!$A$5:$A$9,INT(MOD(ROW()-31,30)/6)+1)</f>
        <v>3600</v>
      </c>
      <c r="D113" s="10">
        <f>IF(COUNTIFS(benchmark_results[round],$A113,benchmark_results[algo],D$30,benchmark_results[n_tracks],$B113,benchmark_results[target_s],$C113,benchmark_results[timed_out],TRUE)=1,"TO",SUMIFS(benchmark_results[runtime_s],benchmark_results[round],$A113,benchmark_results[algo],D$30,benchmark_results[n_tracks],$B113,benchmark_results[target_s],$C113))</f>
        <v>9.9400000181049109E-5</v>
      </c>
      <c r="E113" s="10" t="str">
        <f>IF(COUNTIFS(benchmark_results[round],$A113,benchmark_results[algo],E$30,benchmark_results[n_tracks],$B113,benchmark_results[target_s],$C113,benchmark_results[timed_out],TRUE)=1,"TO",SUMIFS(benchmark_results[runtime_s],benchmark_results[round],$A113,benchmark_results[algo],E$30,benchmark_results[n_tracks],$B113,benchmark_results[target_s],$C113))</f>
        <v>TO</v>
      </c>
      <c r="F113" s="10">
        <f>IF(COUNTIFS(benchmark_results[round],$A113,benchmark_results[algo],F$30,benchmark_results[n_tracks],$B113,benchmark_results[target_s],$C113,benchmark_results[timed_out],TRUE)=1,"TO",SUMIFS(benchmark_results[runtime_s],benchmark_results[round],$A113,benchmark_results[algo],F$30,benchmark_results[n_tracks],$B113,benchmark_results[target_s],$C113))</f>
        <v>0.50112480000825599</v>
      </c>
      <c r="G113" s="10">
        <f>IF(COUNTIFS(benchmark_results[round],$A113,benchmark_results[algo],G$30,benchmark_results[n_tracks],$B113,benchmark_results[target_s],$C113,benchmark_results[timed_out],TRUE)=1,"TO",SUMIFS(benchmark_results[runtime_s],benchmark_results[round],$A113,benchmark_results[algo],G$30,benchmark_results[n_tracks],$B113,benchmark_results[target_s],$C113))</f>
        <v>0.17898320000676904</v>
      </c>
      <c r="H113" s="19">
        <f t="shared" si="6"/>
        <v>2.7998426667380163</v>
      </c>
      <c r="I113" t="str">
        <f t="shared" si="7"/>
        <v>v1</v>
      </c>
      <c r="J113">
        <f>SUMIFS(benchmark_results[gap_s],benchmark_results[round],$A113,benchmark_results[algo],$F$30,benchmark_results[n_tracks],$B113,benchmark_results[target_s],$C113)</f>
        <v>0</v>
      </c>
      <c r="K113">
        <f>SUMIFS(benchmark_results[gap_s],benchmark_results[round],$A113,benchmark_results[algo],$G$30,benchmark_results[n_tracks],$B113,benchmark_results[target_s],$C113)</f>
        <v>0</v>
      </c>
    </row>
    <row r="114" spans="1:11" x14ac:dyDescent="0.3">
      <c r="A114">
        <f t="shared" si="5"/>
        <v>2</v>
      </c>
      <c r="B114" cm="1">
        <f t="array" ref="B114">INDEX('By Size'!$A$5:$A$10,MOD(ROW()-31,6)+1)</f>
        <v>400</v>
      </c>
      <c r="C114" cm="1">
        <f t="array" ref="C114">INDEX('By Target'!$A$5:$A$9,INT(MOD(ROW()-31,30)/6)+1)</f>
        <v>3600</v>
      </c>
      <c r="D114" s="10">
        <f>IF(COUNTIFS(benchmark_results[round],$A114,benchmark_results[algo],D$30,benchmark_results[n_tracks],$B114,benchmark_results[target_s],$C114,benchmark_results[timed_out],TRUE)=1,"TO",SUMIFS(benchmark_results[runtime_s],benchmark_results[round],$A114,benchmark_results[algo],D$30,benchmark_results[n_tracks],$B114,benchmark_results[target_s],$C114))</f>
        <v>7.8360000043176115E-4</v>
      </c>
      <c r="E114" s="10" t="str">
        <f>IF(COUNTIFS(benchmark_results[round],$A114,benchmark_results[algo],E$30,benchmark_results[n_tracks],$B114,benchmark_results[target_s],$C114,benchmark_results[timed_out],TRUE)=1,"TO",SUMIFS(benchmark_results[runtime_s],benchmark_results[round],$A114,benchmark_results[algo],E$30,benchmark_results[n_tracks],$B114,benchmark_results[target_s],$C114))</f>
        <v>TO</v>
      </c>
      <c r="F114" s="10">
        <f>IF(COUNTIFS(benchmark_results[round],$A114,benchmark_results[algo],F$30,benchmark_results[n_tracks],$B114,benchmark_results[target_s],$C114,benchmark_results[timed_out],TRUE)=1,"TO",SUMIFS(benchmark_results[runtime_s],benchmark_results[round],$A114,benchmark_results[algo],F$30,benchmark_results[n_tracks],$B114,benchmark_results[target_s],$C114))</f>
        <v>1.0080053999990923</v>
      </c>
      <c r="G114" s="10">
        <f>IF(COUNTIFS(benchmark_results[round],$A114,benchmark_results[algo],G$30,benchmark_results[n_tracks],$B114,benchmark_results[target_s],$C114,benchmark_results[timed_out],TRUE)=1,"TO",SUMIFS(benchmark_results[runtime_s],benchmark_results[round],$A114,benchmark_results[algo],G$30,benchmark_results[n_tracks],$B114,benchmark_results[target_s],$C114))</f>
        <v>0.37176189999445342</v>
      </c>
      <c r="H114" s="19">
        <f t="shared" si="6"/>
        <v>2.7114273948302166</v>
      </c>
      <c r="I114" t="str">
        <f t="shared" si="7"/>
        <v>v1</v>
      </c>
      <c r="J114">
        <f>SUMIFS(benchmark_results[gap_s],benchmark_results[round],$A114,benchmark_results[algo],$F$30,benchmark_results[n_tracks],$B114,benchmark_results[target_s],$C114)</f>
        <v>0</v>
      </c>
      <c r="K114">
        <f>SUMIFS(benchmark_results[gap_s],benchmark_results[round],$A114,benchmark_results[algo],$G$30,benchmark_results[n_tracks],$B114,benchmark_results[target_s],$C114)</f>
        <v>0</v>
      </c>
    </row>
    <row r="115" spans="1:11" x14ac:dyDescent="0.3">
      <c r="A115">
        <f t="shared" si="5"/>
        <v>2</v>
      </c>
      <c r="B115" cm="1">
        <f t="array" ref="B115">INDEX('By Size'!$A$5:$A$10,MOD(ROW()-31,6)+1)</f>
        <v>10</v>
      </c>
      <c r="C115" cm="1">
        <f t="array" ref="C115">INDEX('By Target'!$A$5:$A$9,INT(MOD(ROW()-31,30)/6)+1)</f>
        <v>7200</v>
      </c>
      <c r="D115" s="10">
        <f>IF(COUNTIFS(benchmark_results[round],$A115,benchmark_results[algo],D$30,benchmark_results[n_tracks],$B115,benchmark_results[target_s],$C115,benchmark_results[timed_out],TRUE)=1,"TO",SUMIFS(benchmark_results[runtime_s],benchmark_results[round],$A115,benchmark_results[algo],D$30,benchmark_results[n_tracks],$B115,benchmark_results[target_s],$C115))</f>
        <v>2.3000000510364771E-5</v>
      </c>
      <c r="E115" s="10">
        <f>IF(COUNTIFS(benchmark_results[round],$A115,benchmark_results[algo],E$30,benchmark_results[n_tracks],$B115,benchmark_results[target_s],$C115,benchmark_results[timed_out],TRUE)=1,"TO",SUMIFS(benchmark_results[runtime_s],benchmark_results[round],$A115,benchmark_results[algo],E$30,benchmark_results[n_tracks],$B115,benchmark_results[target_s],$C115))</f>
        <v>5.8039999566972256E-4</v>
      </c>
      <c r="F115" s="10">
        <f>IF(COUNTIFS(benchmark_results[round],$A115,benchmark_results[algo],F$30,benchmark_results[n_tracks],$B115,benchmark_results[target_s],$C115,benchmark_results[timed_out],TRUE)=1,"TO",SUMIFS(benchmark_results[runtime_s],benchmark_results[round],$A115,benchmark_results[algo],F$30,benchmark_results[n_tracks],$B115,benchmark_results[target_s],$C115))</f>
        <v>6.7280000075697899E-4</v>
      </c>
      <c r="G115" s="10">
        <f>IF(COUNTIFS(benchmark_results[round],$A115,benchmark_results[algo],G$30,benchmark_results[n_tracks],$B115,benchmark_results[target_s],$C115,benchmark_results[timed_out],TRUE)=1,"TO",SUMIFS(benchmark_results[runtime_s],benchmark_results[round],$A115,benchmark_results[algo],G$30,benchmark_results[n_tracks],$B115,benchmark_results[target_s],$C115))</f>
        <v>3.924999909941107E-4</v>
      </c>
      <c r="H115" s="19">
        <f t="shared" si="6"/>
        <v>1.7141401686479887</v>
      </c>
      <c r="I115" t="str">
        <f t="shared" si="7"/>
        <v>v1</v>
      </c>
      <c r="J115">
        <f>SUMIFS(benchmark_results[gap_s],benchmark_results[round],$A115,benchmark_results[algo],$F$30,benchmark_results[n_tracks],$B115,benchmark_results[target_s],$C115)</f>
        <v>4993</v>
      </c>
      <c r="K115">
        <f>SUMIFS(benchmark_results[gap_s],benchmark_results[round],$A115,benchmark_results[algo],$G$30,benchmark_results[n_tracks],$B115,benchmark_results[target_s],$C115)</f>
        <v>4993</v>
      </c>
    </row>
    <row r="116" spans="1:11" x14ac:dyDescent="0.3">
      <c r="A116">
        <f t="shared" si="5"/>
        <v>2</v>
      </c>
      <c r="B116" cm="1">
        <f t="array" ref="B116">INDEX('By Size'!$A$5:$A$10,MOD(ROW()-31,6)+1)</f>
        <v>30</v>
      </c>
      <c r="C116" cm="1">
        <f t="array" ref="C116">INDEX('By Target'!$A$5:$A$9,INT(MOD(ROW()-31,30)/6)+1)</f>
        <v>7200</v>
      </c>
      <c r="D116" s="10" t="str">
        <f>IF(COUNTIFS(benchmark_results[round],$A116,benchmark_results[algo],D$30,benchmark_results[n_tracks],$B116,benchmark_results[target_s],$C116,benchmark_results[timed_out],TRUE)=1,"TO",SUMIFS(benchmark_results[runtime_s],benchmark_results[round],$A116,benchmark_results[algo],D$30,benchmark_results[n_tracks],$B116,benchmark_results[target_s],$C116))</f>
        <v>TO</v>
      </c>
      <c r="E116" s="10" t="str">
        <f>IF(COUNTIFS(benchmark_results[round],$A116,benchmark_results[algo],E$30,benchmark_results[n_tracks],$B116,benchmark_results[target_s],$C116,benchmark_results[timed_out],TRUE)=1,"TO",SUMIFS(benchmark_results[runtime_s],benchmark_results[round],$A116,benchmark_results[algo],E$30,benchmark_results[n_tracks],$B116,benchmark_results[target_s],$C116))</f>
        <v>TO</v>
      </c>
      <c r="F116" s="10">
        <f>IF(COUNTIFS(benchmark_results[round],$A116,benchmark_results[algo],F$30,benchmark_results[n_tracks],$B116,benchmark_results[target_s],$C116,benchmark_results[timed_out],TRUE)=1,"TO",SUMIFS(benchmark_results[runtime_s],benchmark_results[round],$A116,benchmark_results[algo],F$30,benchmark_results[n_tracks],$B116,benchmark_results[target_s],$C116))</f>
        <v>4.1378499998245388E-2</v>
      </c>
      <c r="G116" s="10">
        <f>IF(COUNTIFS(benchmark_results[round],$A116,benchmark_results[algo],G$30,benchmark_results[n_tracks],$B116,benchmark_results[target_s],$C116,benchmark_results[timed_out],TRUE)=1,"TO",SUMIFS(benchmark_results[runtime_s],benchmark_results[round],$A116,benchmark_results[algo],G$30,benchmark_results[n_tracks],$B116,benchmark_results[target_s],$C116))</f>
        <v>1.9262300003902055E-2</v>
      </c>
      <c r="H116" s="19">
        <f t="shared" si="6"/>
        <v>2.1481598765393097</v>
      </c>
      <c r="I116" t="str">
        <f t="shared" si="7"/>
        <v>v4</v>
      </c>
      <c r="J116">
        <f>SUMIFS(benchmark_results[gap_s],benchmark_results[round],$A116,benchmark_results[algo],$F$30,benchmark_results[n_tracks],$B116,benchmark_results[target_s],$C116)</f>
        <v>1</v>
      </c>
      <c r="K116">
        <f>SUMIFS(benchmark_results[gap_s],benchmark_results[round],$A116,benchmark_results[algo],$G$30,benchmark_results[n_tracks],$B116,benchmark_results[target_s],$C116)</f>
        <v>0</v>
      </c>
    </row>
    <row r="117" spans="1:11" x14ac:dyDescent="0.3">
      <c r="A117">
        <f t="shared" si="5"/>
        <v>2</v>
      </c>
      <c r="B117" cm="1">
        <f t="array" ref="B117">INDEX('By Size'!$A$5:$A$10,MOD(ROW()-31,6)+1)</f>
        <v>50</v>
      </c>
      <c r="C117" cm="1">
        <f t="array" ref="C117">INDEX('By Target'!$A$5:$A$9,INT(MOD(ROW()-31,30)/6)+1)</f>
        <v>7200</v>
      </c>
      <c r="D117" s="10">
        <f>IF(COUNTIFS(benchmark_results[round],$A117,benchmark_results[algo],D$30,benchmark_results[n_tracks],$B117,benchmark_results[target_s],$C117,benchmark_results[timed_out],TRUE)=1,"TO",SUMIFS(benchmark_results[runtime_s],benchmark_results[round],$A117,benchmark_results[algo],D$30,benchmark_results[n_tracks],$B117,benchmark_results[target_s],$C117))</f>
        <v>2.9220001306384802E-4</v>
      </c>
      <c r="E117" s="10" t="str">
        <f>IF(COUNTIFS(benchmark_results[round],$A117,benchmark_results[algo],E$30,benchmark_results[n_tracks],$B117,benchmark_results[target_s],$C117,benchmark_results[timed_out],TRUE)=1,"TO",SUMIFS(benchmark_results[runtime_s],benchmark_results[round],$A117,benchmark_results[algo],E$30,benchmark_results[n_tracks],$B117,benchmark_results[target_s],$C117))</f>
        <v>TO</v>
      </c>
      <c r="F117" s="10">
        <f>IF(COUNTIFS(benchmark_results[round],$A117,benchmark_results[algo],F$30,benchmark_results[n_tracks],$B117,benchmark_results[target_s],$C117,benchmark_results[timed_out],TRUE)=1,"TO",SUMIFS(benchmark_results[runtime_s],benchmark_results[round],$A117,benchmark_results[algo],F$30,benchmark_results[n_tracks],$B117,benchmark_results[target_s],$C117))</f>
        <v>0.16224940000392962</v>
      </c>
      <c r="G117" s="10">
        <f>IF(COUNTIFS(benchmark_results[round],$A117,benchmark_results[algo],G$30,benchmark_results[n_tracks],$B117,benchmark_results[target_s],$C117,benchmark_results[timed_out],TRUE)=1,"TO",SUMIFS(benchmark_results[runtime_s],benchmark_results[round],$A117,benchmark_results[algo],G$30,benchmark_results[n_tracks],$B117,benchmark_results[target_s],$C117))</f>
        <v>7.3063699994236231E-2</v>
      </c>
      <c r="H117" s="19">
        <f t="shared" si="6"/>
        <v>2.2206567695959687</v>
      </c>
      <c r="I117" t="str">
        <f t="shared" si="7"/>
        <v>v1</v>
      </c>
      <c r="J117">
        <f>SUMIFS(benchmark_results[gap_s],benchmark_results[round],$A117,benchmark_results[algo],$F$30,benchmark_results[n_tracks],$B117,benchmark_results[target_s],$C117)</f>
        <v>0</v>
      </c>
      <c r="K117">
        <f>SUMIFS(benchmark_results[gap_s],benchmark_results[round],$A117,benchmark_results[algo],$G$30,benchmark_results[n_tracks],$B117,benchmark_results[target_s],$C117)</f>
        <v>0</v>
      </c>
    </row>
    <row r="118" spans="1:11" x14ac:dyDescent="0.3">
      <c r="A118">
        <f t="shared" si="5"/>
        <v>2</v>
      </c>
      <c r="B118" cm="1">
        <f t="array" ref="B118">INDEX('By Size'!$A$5:$A$10,MOD(ROW()-31,6)+1)</f>
        <v>100</v>
      </c>
      <c r="C118" cm="1">
        <f t="array" ref="C118">INDEX('By Target'!$A$5:$A$9,INT(MOD(ROW()-31,30)/6)+1)</f>
        <v>7200</v>
      </c>
      <c r="D118" s="10">
        <f>IF(COUNTIFS(benchmark_results[round],$A118,benchmark_results[algo],D$30,benchmark_results[n_tracks],$B118,benchmark_results[target_s],$C118,benchmark_results[timed_out],TRUE)=1,"TO",SUMIFS(benchmark_results[runtime_s],benchmark_results[round],$A118,benchmark_results[algo],D$30,benchmark_results[n_tracks],$B118,benchmark_results[target_s],$C118))</f>
        <v>1.3719999988097697E-3</v>
      </c>
      <c r="E118" s="10" t="str">
        <f>IF(COUNTIFS(benchmark_results[round],$A118,benchmark_results[algo],E$30,benchmark_results[n_tracks],$B118,benchmark_results[target_s],$C118,benchmark_results[timed_out],TRUE)=1,"TO",SUMIFS(benchmark_results[runtime_s],benchmark_results[round],$A118,benchmark_results[algo],E$30,benchmark_results[n_tracks],$B118,benchmark_results[target_s],$C118))</f>
        <v>TO</v>
      </c>
      <c r="F118" s="10">
        <f>IF(COUNTIFS(benchmark_results[round],$A118,benchmark_results[algo],F$30,benchmark_results[n_tracks],$B118,benchmark_results[target_s],$C118,benchmark_results[timed_out],TRUE)=1,"TO",SUMIFS(benchmark_results[runtime_s],benchmark_results[round],$A118,benchmark_results[algo],F$30,benchmark_results[n_tracks],$B118,benchmark_results[target_s],$C118))</f>
        <v>0.59455119998892769</v>
      </c>
      <c r="G118" s="10">
        <f>IF(COUNTIFS(benchmark_results[round],$A118,benchmark_results[algo],G$30,benchmark_results[n_tracks],$B118,benchmark_results[target_s],$C118,benchmark_results[timed_out],TRUE)=1,"TO",SUMIFS(benchmark_results[runtime_s],benchmark_results[round],$A118,benchmark_results[algo],G$30,benchmark_results[n_tracks],$B118,benchmark_results[target_s],$C118))</f>
        <v>0.19055470000603236</v>
      </c>
      <c r="H118" s="19">
        <f t="shared" si="6"/>
        <v>3.1201077694231949</v>
      </c>
      <c r="I118" t="str">
        <f t="shared" si="7"/>
        <v>v1</v>
      </c>
      <c r="J118">
        <f>SUMIFS(benchmark_results[gap_s],benchmark_results[round],$A118,benchmark_results[algo],$F$30,benchmark_results[n_tracks],$B118,benchmark_results[target_s],$C118)</f>
        <v>0</v>
      </c>
      <c r="K118">
        <f>SUMIFS(benchmark_results[gap_s],benchmark_results[round],$A118,benchmark_results[algo],$G$30,benchmark_results[n_tracks],$B118,benchmark_results[target_s],$C118)</f>
        <v>0</v>
      </c>
    </row>
    <row r="119" spans="1:11" x14ac:dyDescent="0.3">
      <c r="A119">
        <f t="shared" si="5"/>
        <v>2</v>
      </c>
      <c r="B119" cm="1">
        <f t="array" ref="B119">INDEX('By Size'!$A$5:$A$10,MOD(ROW()-31,6)+1)</f>
        <v>200</v>
      </c>
      <c r="C119" cm="1">
        <f t="array" ref="C119">INDEX('By Target'!$A$5:$A$9,INT(MOD(ROW()-31,30)/6)+1)</f>
        <v>7200</v>
      </c>
      <c r="D119" s="10">
        <f>IF(COUNTIFS(benchmark_results[round],$A119,benchmark_results[algo],D$30,benchmark_results[n_tracks],$B119,benchmark_results[target_s],$C119,benchmark_results[timed_out],TRUE)=1,"TO",SUMIFS(benchmark_results[runtime_s],benchmark_results[round],$A119,benchmark_results[algo],D$30,benchmark_results[n_tracks],$B119,benchmark_results[target_s],$C119))</f>
        <v>4.2579999717418104E-4</v>
      </c>
      <c r="E119" s="10" t="str">
        <f>IF(COUNTIFS(benchmark_results[round],$A119,benchmark_results[algo],E$30,benchmark_results[n_tracks],$B119,benchmark_results[target_s],$C119,benchmark_results[timed_out],TRUE)=1,"TO",SUMIFS(benchmark_results[runtime_s],benchmark_results[round],$A119,benchmark_results[algo],E$30,benchmark_results[n_tracks],$B119,benchmark_results[target_s],$C119))</f>
        <v>TO</v>
      </c>
      <c r="F119" s="10">
        <f>IF(COUNTIFS(benchmark_results[round],$A119,benchmark_results[algo],F$30,benchmark_results[n_tracks],$B119,benchmark_results[target_s],$C119,benchmark_results[timed_out],TRUE)=1,"TO",SUMIFS(benchmark_results[runtime_s],benchmark_results[round],$A119,benchmark_results[algo],F$30,benchmark_results[n_tracks],$B119,benchmark_results[target_s],$C119))</f>
        <v>1.2226936999941245</v>
      </c>
      <c r="G119" s="10">
        <f>IF(COUNTIFS(benchmark_results[round],$A119,benchmark_results[algo],G$30,benchmark_results[n_tracks],$B119,benchmark_results[target_s],$C119,benchmark_results[timed_out],TRUE)=1,"TO",SUMIFS(benchmark_results[runtime_s],benchmark_results[round],$A119,benchmark_results[algo],G$30,benchmark_results[n_tracks],$B119,benchmark_results[target_s],$C119))</f>
        <v>0.48496059999160934</v>
      </c>
      <c r="H119" s="19">
        <f t="shared" si="6"/>
        <v>2.521222755034696</v>
      </c>
      <c r="I119" t="str">
        <f t="shared" si="7"/>
        <v>v1</v>
      </c>
      <c r="J119">
        <f>SUMIFS(benchmark_results[gap_s],benchmark_results[round],$A119,benchmark_results[algo],$F$30,benchmark_results[n_tracks],$B119,benchmark_results[target_s],$C119)</f>
        <v>0</v>
      </c>
      <c r="K119">
        <f>SUMIFS(benchmark_results[gap_s],benchmark_results[round],$A119,benchmark_results[algo],$G$30,benchmark_results[n_tracks],$B119,benchmark_results[target_s],$C119)</f>
        <v>0</v>
      </c>
    </row>
    <row r="120" spans="1:11" x14ac:dyDescent="0.3">
      <c r="A120">
        <f t="shared" si="5"/>
        <v>2</v>
      </c>
      <c r="B120" cm="1">
        <f t="array" ref="B120">INDEX('By Size'!$A$5:$A$10,MOD(ROW()-31,6)+1)</f>
        <v>400</v>
      </c>
      <c r="C120" cm="1">
        <f t="array" ref="C120">INDEX('By Target'!$A$5:$A$9,INT(MOD(ROW()-31,30)/6)+1)</f>
        <v>7200</v>
      </c>
      <c r="D120" s="10">
        <f>IF(COUNTIFS(benchmark_results[round],$A120,benchmark_results[algo],D$30,benchmark_results[n_tracks],$B120,benchmark_results[target_s],$C120,benchmark_results[timed_out],TRUE)=1,"TO",SUMIFS(benchmark_results[runtime_s],benchmark_results[round],$A120,benchmark_results[algo],D$30,benchmark_results[n_tracks],$B120,benchmark_results[target_s],$C120))</f>
        <v>5.6100005167536438E-5</v>
      </c>
      <c r="E120" s="10" t="str">
        <f>IF(COUNTIFS(benchmark_results[round],$A120,benchmark_results[algo],E$30,benchmark_results[n_tracks],$B120,benchmark_results[target_s],$C120,benchmark_results[timed_out],TRUE)=1,"TO",SUMIFS(benchmark_results[runtime_s],benchmark_results[round],$A120,benchmark_results[algo],E$30,benchmark_results[n_tracks],$B120,benchmark_results[target_s],$C120))</f>
        <v>TO</v>
      </c>
      <c r="F120" s="10">
        <f>IF(COUNTIFS(benchmark_results[round],$A120,benchmark_results[algo],F$30,benchmark_results[n_tracks],$B120,benchmark_results[target_s],$C120,benchmark_results[timed_out],TRUE)=1,"TO",SUMIFS(benchmark_results[runtime_s],benchmark_results[round],$A120,benchmark_results[algo],F$30,benchmark_results[n_tracks],$B120,benchmark_results[target_s],$C120))</f>
        <v>2.9720687000080943</v>
      </c>
      <c r="G120" s="10">
        <f>IF(COUNTIFS(benchmark_results[round],$A120,benchmark_results[algo],G$30,benchmark_results[n_tracks],$B120,benchmark_results[target_s],$C120,benchmark_results[timed_out],TRUE)=1,"TO",SUMIFS(benchmark_results[runtime_s],benchmark_results[round],$A120,benchmark_results[algo],G$30,benchmark_results[n_tracks],$B120,benchmark_results[target_s],$C120))</f>
        <v>0.9999041999981273</v>
      </c>
      <c r="H120" s="19">
        <f t="shared" si="6"/>
        <v>2.9723534514743117</v>
      </c>
      <c r="I120" t="str">
        <f t="shared" si="7"/>
        <v>v1</v>
      </c>
      <c r="J120">
        <f>SUMIFS(benchmark_results[gap_s],benchmark_results[round],$A120,benchmark_results[algo],$F$30,benchmark_results[n_tracks],$B120,benchmark_results[target_s],$C120)</f>
        <v>0</v>
      </c>
      <c r="K120">
        <f>SUMIFS(benchmark_results[gap_s],benchmark_results[round],$A120,benchmark_results[algo],$G$30,benchmark_results[n_tracks],$B120,benchmark_results[target_s],$C120)</f>
        <v>0</v>
      </c>
    </row>
    <row r="121" spans="1:11" x14ac:dyDescent="0.3">
      <c r="A121">
        <f t="shared" si="5"/>
        <v>3</v>
      </c>
      <c r="B121" cm="1">
        <f t="array" ref="B121">INDEX('By Size'!$A$5:$A$10,MOD(ROW()-31,6)+1)</f>
        <v>10</v>
      </c>
      <c r="C121" cm="1">
        <f t="array" ref="C121">INDEX('By Target'!$A$5:$A$9,INT(MOD(ROW()-31,30)/6)+1)</f>
        <v>300</v>
      </c>
      <c r="D121" s="10" t="str">
        <f>IF(COUNTIFS(benchmark_results[round],$A121,benchmark_results[algo],D$30,benchmark_results[n_tracks],$B121,benchmark_results[target_s],$C121,benchmark_results[timed_out],TRUE)=1,"TO",SUMIFS(benchmark_results[runtime_s],benchmark_results[round],$A121,benchmark_results[algo],D$30,benchmark_results[n_tracks],$B121,benchmark_results[target_s],$C121))</f>
        <v>TO</v>
      </c>
      <c r="E121" s="10">
        <f>IF(COUNTIFS(benchmark_results[round],$A121,benchmark_results[algo],E$30,benchmark_results[n_tracks],$B121,benchmark_results[target_s],$C121,benchmark_results[timed_out],TRUE)=1,"TO",SUMIFS(benchmark_results[runtime_s],benchmark_results[round],$A121,benchmark_results[algo],E$30,benchmark_results[n_tracks],$B121,benchmark_results[target_s],$C121))</f>
        <v>8.1799997133202851E-5</v>
      </c>
      <c r="F121" s="10">
        <f>IF(COUNTIFS(benchmark_results[round],$A121,benchmark_results[algo],F$30,benchmark_results[n_tracks],$B121,benchmark_results[target_s],$C121,benchmark_results[timed_out],TRUE)=1,"TO",SUMIFS(benchmark_results[runtime_s],benchmark_results[round],$A121,benchmark_results[algo],F$30,benchmark_results[n_tracks],$B121,benchmark_results[target_s],$C121))</f>
        <v>5.0700007705017924E-5</v>
      </c>
      <c r="G121" s="10">
        <f>IF(COUNTIFS(benchmark_results[round],$A121,benchmark_results[algo],G$30,benchmark_results[n_tracks],$B121,benchmark_results[target_s],$C121,benchmark_results[timed_out],TRUE)=1,"TO",SUMIFS(benchmark_results[runtime_s],benchmark_results[round],$A121,benchmark_results[algo],G$30,benchmark_results[n_tracks],$B121,benchmark_results[target_s],$C121))</f>
        <v>4.5900000259280205E-5</v>
      </c>
      <c r="H121" s="19">
        <f t="shared" si="6"/>
        <v>1.1045753250244752</v>
      </c>
      <c r="I121" t="str">
        <f t="shared" si="7"/>
        <v>v4</v>
      </c>
      <c r="J121">
        <f>SUMIFS(benchmark_results[gap_s],benchmark_results[round],$A121,benchmark_results[algo],$F$30,benchmark_results[n_tracks],$B121,benchmark_results[target_s],$C121)</f>
        <v>1</v>
      </c>
      <c r="K121">
        <f>SUMIFS(benchmark_results[gap_s],benchmark_results[round],$A121,benchmark_results[algo],$G$30,benchmark_results[n_tracks],$B121,benchmark_results[target_s],$C121)</f>
        <v>1</v>
      </c>
    </row>
    <row r="122" spans="1:11" x14ac:dyDescent="0.3">
      <c r="A122">
        <f t="shared" si="5"/>
        <v>3</v>
      </c>
      <c r="B122" cm="1">
        <f t="array" ref="B122">INDEX('By Size'!$A$5:$A$10,MOD(ROW()-31,6)+1)</f>
        <v>30</v>
      </c>
      <c r="C122" cm="1">
        <f t="array" ref="C122">INDEX('By Target'!$A$5:$A$9,INT(MOD(ROW()-31,30)/6)+1)</f>
        <v>300</v>
      </c>
      <c r="D122" s="10">
        <f>IF(COUNTIFS(benchmark_results[round],$A122,benchmark_results[algo],D$30,benchmark_results[n_tracks],$B122,benchmark_results[target_s],$C122,benchmark_results[timed_out],TRUE)=1,"TO",SUMIFS(benchmark_results[runtime_s],benchmark_results[round],$A122,benchmark_results[algo],D$30,benchmark_results[n_tracks],$B122,benchmark_results[target_s],$C122))</f>
        <v>1.5290000010281801E-4</v>
      </c>
      <c r="E122" s="10">
        <f>IF(COUNTIFS(benchmark_results[round],$A122,benchmark_results[algo],E$30,benchmark_results[n_tracks],$B122,benchmark_results[target_s],$C122,benchmark_results[timed_out],TRUE)=1,"TO",SUMIFS(benchmark_results[runtime_s],benchmark_results[round],$A122,benchmark_results[algo],E$30,benchmark_results[n_tracks],$B122,benchmark_results[target_s],$C122))</f>
        <v>2.1755000052507967E-3</v>
      </c>
      <c r="F122" s="10">
        <f>IF(COUNTIFS(benchmark_results[round],$A122,benchmark_results[algo],F$30,benchmark_results[n_tracks],$B122,benchmark_results[target_s],$C122,benchmark_results[timed_out],TRUE)=1,"TO",SUMIFS(benchmark_results[runtime_s],benchmark_results[round],$A122,benchmark_results[algo],F$30,benchmark_results[n_tracks],$B122,benchmark_results[target_s],$C122))</f>
        <v>3.1180000223685056E-4</v>
      </c>
      <c r="G122" s="10">
        <f>IF(COUNTIFS(benchmark_results[round],$A122,benchmark_results[algo],G$30,benchmark_results[n_tracks],$B122,benchmark_results[target_s],$C122,benchmark_results[timed_out],TRUE)=1,"TO",SUMIFS(benchmark_results[runtime_s],benchmark_results[round],$A122,benchmark_results[algo],G$30,benchmark_results[n_tracks],$B122,benchmark_results[target_s],$C122))</f>
        <v>2.8789999487344176E-4</v>
      </c>
      <c r="H122" s="19">
        <f t="shared" si="6"/>
        <v>1.0830149627960746</v>
      </c>
      <c r="I122" t="str">
        <f t="shared" si="7"/>
        <v>v1</v>
      </c>
      <c r="J122">
        <f>SUMIFS(benchmark_results[gap_s],benchmark_results[round],$A122,benchmark_results[algo],$F$30,benchmark_results[n_tracks],$B122,benchmark_results[target_s],$C122)</f>
        <v>0</v>
      </c>
      <c r="K122">
        <f>SUMIFS(benchmark_results[gap_s],benchmark_results[round],$A122,benchmark_results[algo],$G$30,benchmark_results[n_tracks],$B122,benchmark_results[target_s],$C122)</f>
        <v>0</v>
      </c>
    </row>
    <row r="123" spans="1:11" x14ac:dyDescent="0.3">
      <c r="A123">
        <f t="shared" si="5"/>
        <v>3</v>
      </c>
      <c r="B123" cm="1">
        <f t="array" ref="B123">INDEX('By Size'!$A$5:$A$10,MOD(ROW()-31,6)+1)</f>
        <v>50</v>
      </c>
      <c r="C123" cm="1">
        <f t="array" ref="C123">INDEX('By Target'!$A$5:$A$9,INT(MOD(ROW()-31,30)/6)+1)</f>
        <v>300</v>
      </c>
      <c r="D123" s="10" t="str">
        <f>IF(COUNTIFS(benchmark_results[round],$A123,benchmark_results[algo],D$30,benchmark_results[n_tracks],$B123,benchmark_results[target_s],$C123,benchmark_results[timed_out],TRUE)=1,"TO",SUMIFS(benchmark_results[runtime_s],benchmark_results[round],$A123,benchmark_results[algo],D$30,benchmark_results[n_tracks],$B123,benchmark_results[target_s],$C123))</f>
        <v>TO</v>
      </c>
      <c r="E123" s="10">
        <f>IF(COUNTIFS(benchmark_results[round],$A123,benchmark_results[algo],E$30,benchmark_results[n_tracks],$B123,benchmark_results[target_s],$C123,benchmark_results[timed_out],TRUE)=1,"TO",SUMIFS(benchmark_results[runtime_s],benchmark_results[round],$A123,benchmark_results[algo],E$30,benchmark_results[n_tracks],$B123,benchmark_results[target_s],$C123))</f>
        <v>2.5123200000962242E-2</v>
      </c>
      <c r="F123" s="10">
        <f>IF(COUNTIFS(benchmark_results[round],$A123,benchmark_results[algo],F$30,benchmark_results[n_tracks],$B123,benchmark_results[target_s],$C123,benchmark_results[timed_out],TRUE)=1,"TO",SUMIFS(benchmark_results[runtime_s],benchmark_results[round],$A123,benchmark_results[algo],F$30,benchmark_results[n_tracks],$B123,benchmark_results[target_s],$C123))</f>
        <v>8.9200001093558967E-4</v>
      </c>
      <c r="G123" s="10">
        <f>IF(COUNTIFS(benchmark_results[round],$A123,benchmark_results[algo],G$30,benchmark_results[n_tracks],$B123,benchmark_results[target_s],$C123,benchmark_results[timed_out],TRUE)=1,"TO",SUMIFS(benchmark_results[runtime_s],benchmark_results[round],$A123,benchmark_results[algo],G$30,benchmark_results[n_tracks],$B123,benchmark_results[target_s],$C123))</f>
        <v>5.3390000539366156E-4</v>
      </c>
      <c r="H123" s="19">
        <f t="shared" si="6"/>
        <v>1.6707248584458985</v>
      </c>
      <c r="I123" t="str">
        <f t="shared" si="7"/>
        <v>v4</v>
      </c>
      <c r="J123">
        <f>SUMIFS(benchmark_results[gap_s],benchmark_results[round],$A123,benchmark_results[algo],$F$30,benchmark_results[n_tracks],$B123,benchmark_results[target_s],$C123)</f>
        <v>0</v>
      </c>
      <c r="K123">
        <f>SUMIFS(benchmark_results[gap_s],benchmark_results[round],$A123,benchmark_results[algo],$G$30,benchmark_results[n_tracks],$B123,benchmark_results[target_s],$C123)</f>
        <v>0</v>
      </c>
    </row>
    <row r="124" spans="1:11" x14ac:dyDescent="0.3">
      <c r="A124">
        <f t="shared" si="5"/>
        <v>3</v>
      </c>
      <c r="B124" cm="1">
        <f t="array" ref="B124">INDEX('By Size'!$A$5:$A$10,MOD(ROW()-31,6)+1)</f>
        <v>100</v>
      </c>
      <c r="C124" cm="1">
        <f t="array" ref="C124">INDEX('By Target'!$A$5:$A$9,INT(MOD(ROW()-31,30)/6)+1)</f>
        <v>300</v>
      </c>
      <c r="D124" s="10" t="str">
        <f>IF(COUNTIFS(benchmark_results[round],$A124,benchmark_results[algo],D$30,benchmark_results[n_tracks],$B124,benchmark_results[target_s],$C124,benchmark_results[timed_out],TRUE)=1,"TO",SUMIFS(benchmark_results[runtime_s],benchmark_results[round],$A124,benchmark_results[algo],D$30,benchmark_results[n_tracks],$B124,benchmark_results[target_s],$C124))</f>
        <v>TO</v>
      </c>
      <c r="E124" s="10">
        <f>IF(COUNTIFS(benchmark_results[round],$A124,benchmark_results[algo],E$30,benchmark_results[n_tracks],$B124,benchmark_results[target_s],$C124,benchmark_results[timed_out],TRUE)=1,"TO",SUMIFS(benchmark_results[runtime_s],benchmark_results[round],$A124,benchmark_results[algo],E$30,benchmark_results[n_tracks],$B124,benchmark_results[target_s],$C124))</f>
        <v>0.35970939999970142</v>
      </c>
      <c r="F124" s="10">
        <f>IF(COUNTIFS(benchmark_results[round],$A124,benchmark_results[algo],F$30,benchmark_results[n_tracks],$B124,benchmark_results[target_s],$C124,benchmark_results[timed_out],TRUE)=1,"TO",SUMIFS(benchmark_results[runtime_s],benchmark_results[round],$A124,benchmark_results[algo],F$30,benchmark_results[n_tracks],$B124,benchmark_results[target_s],$C124))</f>
        <v>2.2313999943435192E-3</v>
      </c>
      <c r="G124" s="10">
        <f>IF(COUNTIFS(benchmark_results[round],$A124,benchmark_results[algo],G$30,benchmark_results[n_tracks],$B124,benchmark_results[target_s],$C124,benchmark_results[timed_out],TRUE)=1,"TO",SUMIFS(benchmark_results[runtime_s],benchmark_results[round],$A124,benchmark_results[algo],G$30,benchmark_results[n_tracks],$B124,benchmark_results[target_s],$C124))</f>
        <v>1.3909000117564574E-3</v>
      </c>
      <c r="H124" s="19">
        <f t="shared" si="6"/>
        <v>1.6042849776999146</v>
      </c>
      <c r="I124" t="str">
        <f t="shared" si="7"/>
        <v>v4</v>
      </c>
      <c r="J124">
        <f>SUMIFS(benchmark_results[gap_s],benchmark_results[round],$A124,benchmark_results[algo],$F$30,benchmark_results[n_tracks],$B124,benchmark_results[target_s],$C124)</f>
        <v>0</v>
      </c>
      <c r="K124">
        <f>SUMIFS(benchmark_results[gap_s],benchmark_results[round],$A124,benchmark_results[algo],$G$30,benchmark_results[n_tracks],$B124,benchmark_results[target_s],$C124)</f>
        <v>0</v>
      </c>
    </row>
    <row r="125" spans="1:11" x14ac:dyDescent="0.3">
      <c r="A125">
        <f t="shared" si="5"/>
        <v>3</v>
      </c>
      <c r="B125" cm="1">
        <f t="array" ref="B125">INDEX('By Size'!$A$5:$A$10,MOD(ROW()-31,6)+1)</f>
        <v>200</v>
      </c>
      <c r="C125" cm="1">
        <f t="array" ref="C125">INDEX('By Target'!$A$5:$A$9,INT(MOD(ROW()-31,30)/6)+1)</f>
        <v>300</v>
      </c>
      <c r="D125" s="10">
        <f>IF(COUNTIFS(benchmark_results[round],$A125,benchmark_results[algo],D$30,benchmark_results[n_tracks],$B125,benchmark_results[target_s],$C125,benchmark_results[timed_out],TRUE)=1,"TO",SUMIFS(benchmark_results[runtime_s],benchmark_results[round],$A125,benchmark_results[algo],D$30,benchmark_results[n_tracks],$B125,benchmark_results[target_s],$C125))</f>
        <v>2.1921000006841496E-3</v>
      </c>
      <c r="E125" s="10" t="str">
        <f>IF(COUNTIFS(benchmark_results[round],$A125,benchmark_results[algo],E$30,benchmark_results[n_tracks],$B125,benchmark_results[target_s],$C125,benchmark_results[timed_out],TRUE)=1,"TO",SUMIFS(benchmark_results[runtime_s],benchmark_results[round],$A125,benchmark_results[algo],E$30,benchmark_results[n_tracks],$B125,benchmark_results[target_s],$C125))</f>
        <v>TO</v>
      </c>
      <c r="F125" s="10">
        <f>IF(COUNTIFS(benchmark_results[round],$A125,benchmark_results[algo],F$30,benchmark_results[n_tracks],$B125,benchmark_results[target_s],$C125,benchmark_results[timed_out],TRUE)=1,"TO",SUMIFS(benchmark_results[runtime_s],benchmark_results[round],$A125,benchmark_results[algo],F$30,benchmark_results[n_tracks],$B125,benchmark_results[target_s],$C125))</f>
        <v>6.5359000000171363E-3</v>
      </c>
      <c r="G125" s="10">
        <f>IF(COUNTIFS(benchmark_results[round],$A125,benchmark_results[algo],G$30,benchmark_results[n_tracks],$B125,benchmark_results[target_s],$C125,benchmark_results[timed_out],TRUE)=1,"TO",SUMIFS(benchmark_results[runtime_s],benchmark_results[round],$A125,benchmark_results[algo],G$30,benchmark_results[n_tracks],$B125,benchmark_results[target_s],$C125))</f>
        <v>3.910100000211969E-3</v>
      </c>
      <c r="H125" s="19">
        <f t="shared" si="6"/>
        <v>1.6715429272046294</v>
      </c>
      <c r="I125" t="str">
        <f t="shared" si="7"/>
        <v>v1</v>
      </c>
      <c r="J125">
        <f>SUMIFS(benchmark_results[gap_s],benchmark_results[round],$A125,benchmark_results[algo],$F$30,benchmark_results[n_tracks],$B125,benchmark_results[target_s],$C125)</f>
        <v>0</v>
      </c>
      <c r="K125">
        <f>SUMIFS(benchmark_results[gap_s],benchmark_results[round],$A125,benchmark_results[algo],$G$30,benchmark_results[n_tracks],$B125,benchmark_results[target_s],$C125)</f>
        <v>0</v>
      </c>
    </row>
    <row r="126" spans="1:11" x14ac:dyDescent="0.3">
      <c r="A126">
        <f t="shared" si="5"/>
        <v>3</v>
      </c>
      <c r="B126" cm="1">
        <f t="array" ref="B126">INDEX('By Size'!$A$5:$A$10,MOD(ROW()-31,6)+1)</f>
        <v>400</v>
      </c>
      <c r="C126" cm="1">
        <f t="array" ref="C126">INDEX('By Target'!$A$5:$A$9,INT(MOD(ROW()-31,30)/6)+1)</f>
        <v>300</v>
      </c>
      <c r="D126" s="10" t="str">
        <f>IF(COUNTIFS(benchmark_results[round],$A126,benchmark_results[algo],D$30,benchmark_results[n_tracks],$B126,benchmark_results[target_s],$C126,benchmark_results[timed_out],TRUE)=1,"TO",SUMIFS(benchmark_results[runtime_s],benchmark_results[round],$A126,benchmark_results[algo],D$30,benchmark_results[n_tracks],$B126,benchmark_results[target_s],$C126))</f>
        <v>TO</v>
      </c>
      <c r="E126" s="10" t="str">
        <f>IF(COUNTIFS(benchmark_results[round],$A126,benchmark_results[algo],E$30,benchmark_results[n_tracks],$B126,benchmark_results[target_s],$C126,benchmark_results[timed_out],TRUE)=1,"TO",SUMIFS(benchmark_results[runtime_s],benchmark_results[round],$A126,benchmark_results[algo],E$30,benchmark_results[n_tracks],$B126,benchmark_results[target_s],$C126))</f>
        <v>TO</v>
      </c>
      <c r="F126" s="10">
        <f>IF(COUNTIFS(benchmark_results[round],$A126,benchmark_results[algo],F$30,benchmark_results[n_tracks],$B126,benchmark_results[target_s],$C126,benchmark_results[timed_out],TRUE)=1,"TO",SUMIFS(benchmark_results[runtime_s],benchmark_results[round],$A126,benchmark_results[algo],F$30,benchmark_results[n_tracks],$B126,benchmark_results[target_s],$C126))</f>
        <v>1.7005299989250489E-2</v>
      </c>
      <c r="G126" s="10">
        <f>IF(COUNTIFS(benchmark_results[round],$A126,benchmark_results[algo],G$30,benchmark_results[n_tracks],$B126,benchmark_results[target_s],$C126,benchmark_results[timed_out],TRUE)=1,"TO",SUMIFS(benchmark_results[runtime_s],benchmark_results[round],$A126,benchmark_results[algo],G$30,benchmark_results[n_tracks],$B126,benchmark_results[target_s],$C126))</f>
        <v>9.4757000042591244E-3</v>
      </c>
      <c r="H126" s="19">
        <f t="shared" si="6"/>
        <v>1.7946220312596399</v>
      </c>
      <c r="I126" t="str">
        <f t="shared" si="7"/>
        <v>v4</v>
      </c>
      <c r="J126">
        <f>SUMIFS(benchmark_results[gap_s],benchmark_results[round],$A126,benchmark_results[algo],$F$30,benchmark_results[n_tracks],$B126,benchmark_results[target_s],$C126)</f>
        <v>0</v>
      </c>
      <c r="K126">
        <f>SUMIFS(benchmark_results[gap_s],benchmark_results[round],$A126,benchmark_results[algo],$G$30,benchmark_results[n_tracks],$B126,benchmark_results[target_s],$C126)</f>
        <v>0</v>
      </c>
    </row>
    <row r="127" spans="1:11" x14ac:dyDescent="0.3">
      <c r="A127">
        <f t="shared" si="5"/>
        <v>3</v>
      </c>
      <c r="B127" cm="1">
        <f t="array" ref="B127">INDEX('By Size'!$A$5:$A$10,MOD(ROW()-31,6)+1)</f>
        <v>10</v>
      </c>
      <c r="C127" cm="1">
        <f t="array" ref="C127">INDEX('By Target'!$A$5:$A$9,INT(MOD(ROW()-31,30)/6)+1)</f>
        <v>600</v>
      </c>
      <c r="D127" s="10" t="str">
        <f>IF(COUNTIFS(benchmark_results[round],$A127,benchmark_results[algo],D$30,benchmark_results[n_tracks],$B127,benchmark_results[target_s],$C127,benchmark_results[timed_out],TRUE)=1,"TO",SUMIFS(benchmark_results[runtime_s],benchmark_results[round],$A127,benchmark_results[algo],D$30,benchmark_results[n_tracks],$B127,benchmark_results[target_s],$C127))</f>
        <v>TO</v>
      </c>
      <c r="E127" s="10">
        <f>IF(COUNTIFS(benchmark_results[round],$A127,benchmark_results[algo],E$30,benchmark_results[n_tracks],$B127,benchmark_results[target_s],$C127,benchmark_results[timed_out],TRUE)=1,"TO",SUMIFS(benchmark_results[runtime_s],benchmark_results[round],$A127,benchmark_results[algo],E$30,benchmark_results[n_tracks],$B127,benchmark_results[target_s],$C127))</f>
        <v>1.8839999393094331E-4</v>
      </c>
      <c r="F127" s="10">
        <f>IF(COUNTIFS(benchmark_results[round],$A127,benchmark_results[algo],F$30,benchmark_results[n_tracks],$B127,benchmark_results[target_s],$C127,benchmark_results[timed_out],TRUE)=1,"TO",SUMIFS(benchmark_results[runtime_s],benchmark_results[round],$A127,benchmark_results[algo],F$30,benchmark_results[n_tracks],$B127,benchmark_results[target_s],$C127))</f>
        <v>1.4960000407882035E-4</v>
      </c>
      <c r="G127" s="10">
        <f>IF(COUNTIFS(benchmark_results[round],$A127,benchmark_results[algo],G$30,benchmark_results[n_tracks],$B127,benchmark_results[target_s],$C127,benchmark_results[timed_out],TRUE)=1,"TO",SUMIFS(benchmark_results[runtime_s],benchmark_results[round],$A127,benchmark_results[algo],G$30,benchmark_results[n_tracks],$B127,benchmark_results[target_s],$C127))</f>
        <v>1.1090000043623149E-4</v>
      </c>
      <c r="H127" s="19">
        <f t="shared" si="6"/>
        <v>1.3489630612295778</v>
      </c>
      <c r="I127" t="str">
        <f t="shared" si="7"/>
        <v>v4</v>
      </c>
      <c r="J127">
        <f>SUMIFS(benchmark_results[gap_s],benchmark_results[round],$A127,benchmark_results[algo],$F$30,benchmark_results[n_tracks],$B127,benchmark_results[target_s],$C127)</f>
        <v>2</v>
      </c>
      <c r="K127">
        <f>SUMIFS(benchmark_results[gap_s],benchmark_results[round],$A127,benchmark_results[algo],$G$30,benchmark_results[n_tracks],$B127,benchmark_results[target_s],$C127)</f>
        <v>2</v>
      </c>
    </row>
    <row r="128" spans="1:11" x14ac:dyDescent="0.3">
      <c r="A128">
        <f t="shared" si="5"/>
        <v>3</v>
      </c>
      <c r="B128" cm="1">
        <f t="array" ref="B128">INDEX('By Size'!$A$5:$A$10,MOD(ROW()-31,6)+1)</f>
        <v>30</v>
      </c>
      <c r="C128" cm="1">
        <f t="array" ref="C128">INDEX('By Target'!$A$5:$A$9,INT(MOD(ROW()-31,30)/6)+1)</f>
        <v>600</v>
      </c>
      <c r="D128" s="10" t="str">
        <f>IF(COUNTIFS(benchmark_results[round],$A128,benchmark_results[algo],D$30,benchmark_results[n_tracks],$B128,benchmark_results[target_s],$C128,benchmark_results[timed_out],TRUE)=1,"TO",SUMIFS(benchmark_results[runtime_s],benchmark_results[round],$A128,benchmark_results[algo],D$30,benchmark_results[n_tracks],$B128,benchmark_results[target_s],$C128))</f>
        <v>TO</v>
      </c>
      <c r="E128" s="10">
        <f>IF(COUNTIFS(benchmark_results[round],$A128,benchmark_results[algo],E$30,benchmark_results[n_tracks],$B128,benchmark_results[target_s],$C128,benchmark_results[timed_out],TRUE)=1,"TO",SUMIFS(benchmark_results[runtime_s],benchmark_results[round],$A128,benchmark_results[algo],E$30,benchmark_results[n_tracks],$B128,benchmark_results[target_s],$C128))</f>
        <v>2.8075800000806339E-2</v>
      </c>
      <c r="F128" s="10">
        <f>IF(COUNTIFS(benchmark_results[round],$A128,benchmark_results[algo],F$30,benchmark_results[n_tracks],$B128,benchmark_results[target_s],$C128,benchmark_results[timed_out],TRUE)=1,"TO",SUMIFS(benchmark_results[runtime_s],benchmark_results[round],$A128,benchmark_results[algo],F$30,benchmark_results[n_tracks],$B128,benchmark_results[target_s],$C128))</f>
        <v>1.6982999950414523E-3</v>
      </c>
      <c r="G128" s="10">
        <f>IF(COUNTIFS(benchmark_results[round],$A128,benchmark_results[algo],G$30,benchmark_results[n_tracks],$B128,benchmark_results[target_s],$C128,benchmark_results[timed_out],TRUE)=1,"TO",SUMIFS(benchmark_results[runtime_s],benchmark_results[round],$A128,benchmark_results[algo],G$30,benchmark_results[n_tracks],$B128,benchmark_results[target_s],$C128))</f>
        <v>8.6830000509507954E-4</v>
      </c>
      <c r="H128" s="19">
        <f t="shared" si="6"/>
        <v>1.9558908039571958</v>
      </c>
      <c r="I128" t="str">
        <f t="shared" si="7"/>
        <v>v4</v>
      </c>
      <c r="J128">
        <f>SUMIFS(benchmark_results[gap_s],benchmark_results[round],$A128,benchmark_results[algo],$F$30,benchmark_results[n_tracks],$B128,benchmark_results[target_s],$C128)</f>
        <v>0</v>
      </c>
      <c r="K128">
        <f>SUMIFS(benchmark_results[gap_s],benchmark_results[round],$A128,benchmark_results[algo],$G$30,benchmark_results[n_tracks],$B128,benchmark_results[target_s],$C128)</f>
        <v>0</v>
      </c>
    </row>
    <row r="129" spans="1:11" x14ac:dyDescent="0.3">
      <c r="A129">
        <f t="shared" si="5"/>
        <v>3</v>
      </c>
      <c r="B129" cm="1">
        <f t="array" ref="B129">INDEX('By Size'!$A$5:$A$10,MOD(ROW()-31,6)+1)</f>
        <v>50</v>
      </c>
      <c r="C129" cm="1">
        <f t="array" ref="C129">INDEX('By Target'!$A$5:$A$9,INT(MOD(ROW()-31,30)/6)+1)</f>
        <v>600</v>
      </c>
      <c r="D129" s="10">
        <f>IF(COUNTIFS(benchmark_results[round],$A129,benchmark_results[algo],D$30,benchmark_results[n_tracks],$B129,benchmark_results[target_s],$C129,benchmark_results[timed_out],TRUE)=1,"TO",SUMIFS(benchmark_results[runtime_s],benchmark_results[round],$A129,benchmark_results[algo],D$30,benchmark_results[n_tracks],$B129,benchmark_results[target_s],$C129))</f>
        <v>1.1693999986164272E-3</v>
      </c>
      <c r="E129" s="10">
        <f>IF(COUNTIFS(benchmark_results[round],$A129,benchmark_results[algo],E$30,benchmark_results[n_tracks],$B129,benchmark_results[target_s],$C129,benchmark_results[timed_out],TRUE)=1,"TO",SUMIFS(benchmark_results[runtime_s],benchmark_results[round],$A129,benchmark_results[algo],E$30,benchmark_results[n_tracks],$B129,benchmark_results[target_s],$C129))</f>
        <v>1.2523720000026515</v>
      </c>
      <c r="F129" s="10">
        <f>IF(COUNTIFS(benchmark_results[round],$A129,benchmark_results[algo],F$30,benchmark_results[n_tracks],$B129,benchmark_results[target_s],$C129,benchmark_results[timed_out],TRUE)=1,"TO",SUMIFS(benchmark_results[runtime_s],benchmark_results[round],$A129,benchmark_results[algo],F$30,benchmark_results[n_tracks],$B129,benchmark_results[target_s],$C129))</f>
        <v>4.7227000031853095E-3</v>
      </c>
      <c r="G129" s="10">
        <f>IF(COUNTIFS(benchmark_results[round],$A129,benchmark_results[algo],G$30,benchmark_results[n_tracks],$B129,benchmark_results[target_s],$C129,benchmark_results[timed_out],TRUE)=1,"TO",SUMIFS(benchmark_results[runtime_s],benchmark_results[round],$A129,benchmark_results[algo],G$30,benchmark_results[n_tracks],$B129,benchmark_results[target_s],$C129))</f>
        <v>1.9519000052241609E-3</v>
      </c>
      <c r="H129" s="19">
        <f t="shared" si="6"/>
        <v>2.4195399306036394</v>
      </c>
      <c r="I129" t="str">
        <f t="shared" si="7"/>
        <v>v1</v>
      </c>
      <c r="J129">
        <f>SUMIFS(benchmark_results[gap_s],benchmark_results[round],$A129,benchmark_results[algo],$F$30,benchmark_results[n_tracks],$B129,benchmark_results[target_s],$C129)</f>
        <v>0</v>
      </c>
      <c r="K129">
        <f>SUMIFS(benchmark_results[gap_s],benchmark_results[round],$A129,benchmark_results[algo],$G$30,benchmark_results[n_tracks],$B129,benchmark_results[target_s],$C129)</f>
        <v>0</v>
      </c>
    </row>
    <row r="130" spans="1:11" x14ac:dyDescent="0.3">
      <c r="A130">
        <f t="shared" si="5"/>
        <v>3</v>
      </c>
      <c r="B130" cm="1">
        <f t="array" ref="B130">INDEX('By Size'!$A$5:$A$10,MOD(ROW()-31,6)+1)</f>
        <v>100</v>
      </c>
      <c r="C130" cm="1">
        <f t="array" ref="C130">INDEX('By Target'!$A$5:$A$9,INT(MOD(ROW()-31,30)/6)+1)</f>
        <v>600</v>
      </c>
      <c r="D130" s="10">
        <f>IF(COUNTIFS(benchmark_results[round],$A130,benchmark_results[algo],D$30,benchmark_results[n_tracks],$B130,benchmark_results[target_s],$C130,benchmark_results[timed_out],TRUE)=1,"TO",SUMIFS(benchmark_results[runtime_s],benchmark_results[round],$A130,benchmark_results[algo],D$30,benchmark_results[n_tracks],$B130,benchmark_results[target_s],$C130))</f>
        <v>1.2895999971078709E-3</v>
      </c>
      <c r="E130" s="10" t="str">
        <f>IF(COUNTIFS(benchmark_results[round],$A130,benchmark_results[algo],E$30,benchmark_results[n_tracks],$B130,benchmark_results[target_s],$C130,benchmark_results[timed_out],TRUE)=1,"TO",SUMIFS(benchmark_results[runtime_s],benchmark_results[round],$A130,benchmark_results[algo],E$30,benchmark_results[n_tracks],$B130,benchmark_results[target_s],$C130))</f>
        <v>TO</v>
      </c>
      <c r="F130" s="10">
        <f>IF(COUNTIFS(benchmark_results[round],$A130,benchmark_results[algo],F$30,benchmark_results[n_tracks],$B130,benchmark_results[target_s],$C130,benchmark_results[timed_out],TRUE)=1,"TO",SUMIFS(benchmark_results[runtime_s],benchmark_results[round],$A130,benchmark_results[algo],F$30,benchmark_results[n_tracks],$B130,benchmark_results[target_s],$C130))</f>
        <v>1.1011399998096749E-2</v>
      </c>
      <c r="G130" s="10">
        <f>IF(COUNTIFS(benchmark_results[round],$A130,benchmark_results[algo],G$30,benchmark_results[n_tracks],$B130,benchmark_results[target_s],$C130,benchmark_results[timed_out],TRUE)=1,"TO",SUMIFS(benchmark_results[runtime_s],benchmark_results[round],$A130,benchmark_results[algo],G$30,benchmark_results[n_tracks],$B130,benchmark_results[target_s],$C130))</f>
        <v>4.8582000017631799E-3</v>
      </c>
      <c r="H130" s="19">
        <f t="shared" si="6"/>
        <v>2.2665596299247452</v>
      </c>
      <c r="I130" t="str">
        <f t="shared" si="7"/>
        <v>v1</v>
      </c>
      <c r="J130">
        <f>SUMIFS(benchmark_results[gap_s],benchmark_results[round],$A130,benchmark_results[algo],$F$30,benchmark_results[n_tracks],$B130,benchmark_results[target_s],$C130)</f>
        <v>0</v>
      </c>
      <c r="K130">
        <f>SUMIFS(benchmark_results[gap_s],benchmark_results[round],$A130,benchmark_results[algo],$G$30,benchmark_results[n_tracks],$B130,benchmark_results[target_s],$C130)</f>
        <v>0</v>
      </c>
    </row>
    <row r="131" spans="1:11" x14ac:dyDescent="0.3">
      <c r="A131">
        <f t="shared" si="5"/>
        <v>3</v>
      </c>
      <c r="B131" cm="1">
        <f t="array" ref="B131">INDEX('By Size'!$A$5:$A$10,MOD(ROW()-31,6)+1)</f>
        <v>200</v>
      </c>
      <c r="C131" cm="1">
        <f t="array" ref="C131">INDEX('By Target'!$A$5:$A$9,INT(MOD(ROW()-31,30)/6)+1)</f>
        <v>600</v>
      </c>
      <c r="D131" s="10">
        <f>IF(COUNTIFS(benchmark_results[round],$A131,benchmark_results[algo],D$30,benchmark_results[n_tracks],$B131,benchmark_results[target_s],$C131,benchmark_results[timed_out],TRUE)=1,"TO",SUMIFS(benchmark_results[runtime_s],benchmark_results[round],$A131,benchmark_results[algo],D$30,benchmark_results[n_tracks],$B131,benchmark_results[target_s],$C131))</f>
        <v>4.0560999914305285E-3</v>
      </c>
      <c r="E131" s="10" t="str">
        <f>IF(COUNTIFS(benchmark_results[round],$A131,benchmark_results[algo],E$30,benchmark_results[n_tracks],$B131,benchmark_results[target_s],$C131,benchmark_results[timed_out],TRUE)=1,"TO",SUMIFS(benchmark_results[runtime_s],benchmark_results[round],$A131,benchmark_results[algo],E$30,benchmark_results[n_tracks],$B131,benchmark_results[target_s],$C131))</f>
        <v>TO</v>
      </c>
      <c r="F131" s="10">
        <f>IF(COUNTIFS(benchmark_results[round],$A131,benchmark_results[algo],F$30,benchmark_results[n_tracks],$B131,benchmark_results[target_s],$C131,benchmark_results[timed_out],TRUE)=1,"TO",SUMIFS(benchmark_results[runtime_s],benchmark_results[round],$A131,benchmark_results[algo],F$30,benchmark_results[n_tracks],$B131,benchmark_results[target_s],$C131))</f>
        <v>5.5475899993325584E-2</v>
      </c>
      <c r="G131" s="10">
        <f>IF(COUNTIFS(benchmark_results[round],$A131,benchmark_results[algo],G$30,benchmark_results[n_tracks],$B131,benchmark_results[target_s],$C131,benchmark_results[timed_out],TRUE)=1,"TO",SUMIFS(benchmark_results[runtime_s],benchmark_results[round],$A131,benchmark_results[algo],G$30,benchmark_results[n_tracks],$B131,benchmark_results[target_s],$C131))</f>
        <v>1.3237199993454851E-2</v>
      </c>
      <c r="H131" s="19">
        <f t="shared" si="6"/>
        <v>4.190908955123116</v>
      </c>
      <c r="I131" t="str">
        <f t="shared" si="7"/>
        <v>v1</v>
      </c>
      <c r="J131">
        <f>SUMIFS(benchmark_results[gap_s],benchmark_results[round],$A131,benchmark_results[algo],$F$30,benchmark_results[n_tracks],$B131,benchmark_results[target_s],$C131)</f>
        <v>0</v>
      </c>
      <c r="K131">
        <f>SUMIFS(benchmark_results[gap_s],benchmark_results[round],$A131,benchmark_results[algo],$G$30,benchmark_results[n_tracks],$B131,benchmark_results[target_s],$C131)</f>
        <v>0</v>
      </c>
    </row>
    <row r="132" spans="1:11" x14ac:dyDescent="0.3">
      <c r="A132">
        <f t="shared" si="5"/>
        <v>3</v>
      </c>
      <c r="B132" cm="1">
        <f t="array" ref="B132">INDEX('By Size'!$A$5:$A$10,MOD(ROW()-31,6)+1)</f>
        <v>400</v>
      </c>
      <c r="C132" cm="1">
        <f t="array" ref="C132">INDEX('By Target'!$A$5:$A$9,INT(MOD(ROW()-31,30)/6)+1)</f>
        <v>600</v>
      </c>
      <c r="D132" s="10">
        <f>IF(COUNTIFS(benchmark_results[round],$A132,benchmark_results[algo],D$30,benchmark_results[n_tracks],$B132,benchmark_results[target_s],$C132,benchmark_results[timed_out],TRUE)=1,"TO",SUMIFS(benchmark_results[runtime_s],benchmark_results[round],$A132,benchmark_results[algo],D$30,benchmark_results[n_tracks],$B132,benchmark_results[target_s],$C132))</f>
        <v>5.6151000026147813E-3</v>
      </c>
      <c r="E132" s="10" t="str">
        <f>IF(COUNTIFS(benchmark_results[round],$A132,benchmark_results[algo],E$30,benchmark_results[n_tracks],$B132,benchmark_results[target_s],$C132,benchmark_results[timed_out],TRUE)=1,"TO",SUMIFS(benchmark_results[runtime_s],benchmark_results[round],$A132,benchmark_results[algo],E$30,benchmark_results[n_tracks],$B132,benchmark_results[target_s],$C132))</f>
        <v>TO</v>
      </c>
      <c r="F132" s="10">
        <f>IF(COUNTIFS(benchmark_results[round],$A132,benchmark_results[algo],F$30,benchmark_results[n_tracks],$B132,benchmark_results[target_s],$C132,benchmark_results[timed_out],TRUE)=1,"TO",SUMIFS(benchmark_results[runtime_s],benchmark_results[round],$A132,benchmark_results[algo],F$30,benchmark_results[n_tracks],$B132,benchmark_results[target_s],$C132))</f>
        <v>7.7760100000887178E-2</v>
      </c>
      <c r="G132" s="10">
        <f>IF(COUNTIFS(benchmark_results[round],$A132,benchmark_results[algo],G$30,benchmark_results[n_tracks],$B132,benchmark_results[target_s],$C132,benchmark_results[timed_out],TRUE)=1,"TO",SUMIFS(benchmark_results[runtime_s],benchmark_results[round],$A132,benchmark_results[algo],G$30,benchmark_results[n_tracks],$B132,benchmark_results[target_s],$C132))</f>
        <v>2.6435099993250333E-2</v>
      </c>
      <c r="H132" s="19">
        <f t="shared" si="6"/>
        <v>2.9415474131265493</v>
      </c>
      <c r="I132" t="str">
        <f t="shared" si="7"/>
        <v>v1</v>
      </c>
      <c r="J132">
        <f>SUMIFS(benchmark_results[gap_s],benchmark_results[round],$A132,benchmark_results[algo],$F$30,benchmark_results[n_tracks],$B132,benchmark_results[target_s],$C132)</f>
        <v>0</v>
      </c>
      <c r="K132">
        <f>SUMIFS(benchmark_results[gap_s],benchmark_results[round],$A132,benchmark_results[algo],$G$30,benchmark_results[n_tracks],$B132,benchmark_results[target_s],$C132)</f>
        <v>0</v>
      </c>
    </row>
    <row r="133" spans="1:11" x14ac:dyDescent="0.3">
      <c r="A133">
        <f t="shared" si="5"/>
        <v>3</v>
      </c>
      <c r="B133" cm="1">
        <f t="array" ref="B133">INDEX('By Size'!$A$5:$A$10,MOD(ROW()-31,6)+1)</f>
        <v>10</v>
      </c>
      <c r="C133" cm="1">
        <f t="array" ref="C133">INDEX('By Target'!$A$5:$A$9,INT(MOD(ROW()-31,30)/6)+1)</f>
        <v>1200</v>
      </c>
      <c r="D133" s="10" t="str">
        <f>IF(COUNTIFS(benchmark_results[round],$A133,benchmark_results[algo],D$30,benchmark_results[n_tracks],$B133,benchmark_results[target_s],$C133,benchmark_results[timed_out],TRUE)=1,"TO",SUMIFS(benchmark_results[runtime_s],benchmark_results[round],$A133,benchmark_results[algo],D$30,benchmark_results[n_tracks],$B133,benchmark_results[target_s],$C133))</f>
        <v>TO</v>
      </c>
      <c r="E133" s="10">
        <f>IF(COUNTIFS(benchmark_results[round],$A133,benchmark_results[algo],E$30,benchmark_results[n_tracks],$B133,benchmark_results[target_s],$C133,benchmark_results[timed_out],TRUE)=1,"TO",SUMIFS(benchmark_results[runtime_s],benchmark_results[round],$A133,benchmark_results[algo],E$30,benchmark_results[n_tracks],$B133,benchmark_results[target_s],$C133))</f>
        <v>3.4709999454207718E-4</v>
      </c>
      <c r="F133" s="10">
        <f>IF(COUNTIFS(benchmark_results[round],$A133,benchmark_results[algo],F$30,benchmark_results[n_tracks],$B133,benchmark_results[target_s],$C133,benchmark_results[timed_out],TRUE)=1,"TO",SUMIFS(benchmark_results[runtime_s],benchmark_results[round],$A133,benchmark_results[algo],F$30,benchmark_results[n_tracks],$B133,benchmark_results[target_s],$C133))</f>
        <v>3.0439998954534531E-4</v>
      </c>
      <c r="G133" s="10">
        <f>IF(COUNTIFS(benchmark_results[round],$A133,benchmark_results[algo],G$30,benchmark_results[n_tracks],$B133,benchmark_results[target_s],$C133,benchmark_results[timed_out],TRUE)=1,"TO",SUMIFS(benchmark_results[runtime_s],benchmark_results[round],$A133,benchmark_results[algo],G$30,benchmark_results[n_tracks],$B133,benchmark_results[target_s],$C133))</f>
        <v>2.5559999630786479E-4</v>
      </c>
      <c r="H133" s="19">
        <f t="shared" si="6"/>
        <v>1.1909232939843315</v>
      </c>
      <c r="I133" t="str">
        <f t="shared" si="7"/>
        <v>v4</v>
      </c>
      <c r="J133">
        <f>SUMIFS(benchmark_results[gap_s],benchmark_results[round],$A133,benchmark_results[algo],$F$30,benchmark_results[n_tracks],$B133,benchmark_results[target_s],$C133)</f>
        <v>3</v>
      </c>
      <c r="K133">
        <f>SUMIFS(benchmark_results[gap_s],benchmark_results[round],$A133,benchmark_results[algo],$G$30,benchmark_results[n_tracks],$B133,benchmark_results[target_s],$C133)</f>
        <v>2</v>
      </c>
    </row>
    <row r="134" spans="1:11" x14ac:dyDescent="0.3">
      <c r="A134">
        <f t="shared" si="5"/>
        <v>3</v>
      </c>
      <c r="B134" cm="1">
        <f t="array" ref="B134">INDEX('By Size'!$A$5:$A$10,MOD(ROW()-31,6)+1)</f>
        <v>30</v>
      </c>
      <c r="C134" cm="1">
        <f t="array" ref="C134">INDEX('By Target'!$A$5:$A$9,INT(MOD(ROW()-31,30)/6)+1)</f>
        <v>1200</v>
      </c>
      <c r="D134" s="10">
        <f>IF(COUNTIFS(benchmark_results[round],$A134,benchmark_results[algo],D$30,benchmark_results[n_tracks],$B134,benchmark_results[target_s],$C134,benchmark_results[timed_out],TRUE)=1,"TO",SUMIFS(benchmark_results[runtime_s],benchmark_results[round],$A134,benchmark_results[algo],D$30,benchmark_results[n_tracks],$B134,benchmark_results[target_s],$C134))</f>
        <v>2.5810000079218298E-4</v>
      </c>
      <c r="E134" s="10">
        <f>IF(COUNTIFS(benchmark_results[round],$A134,benchmark_results[algo],E$30,benchmark_results[n_tracks],$B134,benchmark_results[target_s],$C134,benchmark_results[timed_out],TRUE)=1,"TO",SUMIFS(benchmark_results[runtime_s],benchmark_results[round],$A134,benchmark_results[algo],E$30,benchmark_results[n_tracks],$B134,benchmark_results[target_s],$C134))</f>
        <v>1.372133600001689</v>
      </c>
      <c r="F134" s="10">
        <f>IF(COUNTIFS(benchmark_results[round],$A134,benchmark_results[algo],F$30,benchmark_results[n_tracks],$B134,benchmark_results[target_s],$C134,benchmark_results[timed_out],TRUE)=1,"TO",SUMIFS(benchmark_results[runtime_s],benchmark_results[round],$A134,benchmark_results[algo],F$30,benchmark_results[n_tracks],$B134,benchmark_results[target_s],$C134))</f>
        <v>1.7885099994600751E-2</v>
      </c>
      <c r="G134" s="10">
        <f>IF(COUNTIFS(benchmark_results[round],$A134,benchmark_results[algo],G$30,benchmark_results[n_tracks],$B134,benchmark_results[target_s],$C134,benchmark_results[timed_out],TRUE)=1,"TO",SUMIFS(benchmark_results[runtime_s],benchmark_results[round],$A134,benchmark_results[algo],G$30,benchmark_results[n_tracks],$B134,benchmark_results[target_s],$C134))</f>
        <v>6.601600005524233E-3</v>
      </c>
      <c r="H134" s="19">
        <f t="shared" si="6"/>
        <v>2.7092068558583464</v>
      </c>
      <c r="I134" t="str">
        <f t="shared" si="7"/>
        <v>v1</v>
      </c>
      <c r="J134">
        <f>SUMIFS(benchmark_results[gap_s],benchmark_results[round],$A134,benchmark_results[algo],$F$30,benchmark_results[n_tracks],$B134,benchmark_results[target_s],$C134)</f>
        <v>0</v>
      </c>
      <c r="K134">
        <f>SUMIFS(benchmark_results[gap_s],benchmark_results[round],$A134,benchmark_results[algo],$G$30,benchmark_results[n_tracks],$B134,benchmark_results[target_s],$C134)</f>
        <v>0</v>
      </c>
    </row>
    <row r="135" spans="1:11" x14ac:dyDescent="0.3">
      <c r="A135">
        <f t="shared" si="5"/>
        <v>3</v>
      </c>
      <c r="B135" cm="1">
        <f t="array" ref="B135">INDEX('By Size'!$A$5:$A$10,MOD(ROW()-31,6)+1)</f>
        <v>50</v>
      </c>
      <c r="C135" cm="1">
        <f t="array" ref="C135">INDEX('By Target'!$A$5:$A$9,INT(MOD(ROW()-31,30)/6)+1)</f>
        <v>1200</v>
      </c>
      <c r="D135" s="10">
        <f>IF(COUNTIFS(benchmark_results[round],$A135,benchmark_results[algo],D$30,benchmark_results[n_tracks],$B135,benchmark_results[target_s],$C135,benchmark_results[timed_out],TRUE)=1,"TO",SUMIFS(benchmark_results[runtime_s],benchmark_results[round],$A135,benchmark_results[algo],D$30,benchmark_results[n_tracks],$B135,benchmark_results[target_s],$C135))</f>
        <v>6.5279999398626387E-4</v>
      </c>
      <c r="E135" s="10" t="str">
        <f>IF(COUNTIFS(benchmark_results[round],$A135,benchmark_results[algo],E$30,benchmark_results[n_tracks],$B135,benchmark_results[target_s],$C135,benchmark_results[timed_out],TRUE)=1,"TO",SUMIFS(benchmark_results[runtime_s],benchmark_results[round],$A135,benchmark_results[algo],E$30,benchmark_results[n_tracks],$B135,benchmark_results[target_s],$C135))</f>
        <v>TO</v>
      </c>
      <c r="F135" s="10">
        <f>IF(COUNTIFS(benchmark_results[round],$A135,benchmark_results[algo],F$30,benchmark_results[n_tracks],$B135,benchmark_results[target_s],$C135,benchmark_results[timed_out],TRUE)=1,"TO",SUMIFS(benchmark_results[runtime_s],benchmark_results[round],$A135,benchmark_results[algo],F$30,benchmark_results[n_tracks],$B135,benchmark_results[target_s],$C135))</f>
        <v>1.6120200001751073E-2</v>
      </c>
      <c r="G135" s="10">
        <f>IF(COUNTIFS(benchmark_results[round],$A135,benchmark_results[algo],G$30,benchmark_results[n_tracks],$B135,benchmark_results[target_s],$C135,benchmark_results[timed_out],TRUE)=1,"TO",SUMIFS(benchmark_results[runtime_s],benchmark_results[round],$A135,benchmark_results[algo],G$30,benchmark_results[n_tracks],$B135,benchmark_results[target_s],$C135))</f>
        <v>6.2544000102207065E-3</v>
      </c>
      <c r="H135" s="19">
        <f t="shared" si="6"/>
        <v>2.5774174941494059</v>
      </c>
      <c r="I135" t="str">
        <f t="shared" si="7"/>
        <v>v1</v>
      </c>
      <c r="J135">
        <f>SUMIFS(benchmark_results[gap_s],benchmark_results[round],$A135,benchmark_results[algo],$F$30,benchmark_results[n_tracks],$B135,benchmark_results[target_s],$C135)</f>
        <v>0</v>
      </c>
      <c r="K135">
        <f>SUMIFS(benchmark_results[gap_s],benchmark_results[round],$A135,benchmark_results[algo],$G$30,benchmark_results[n_tracks],$B135,benchmark_results[target_s],$C135)</f>
        <v>0</v>
      </c>
    </row>
    <row r="136" spans="1:11" x14ac:dyDescent="0.3">
      <c r="A136">
        <f t="shared" si="5"/>
        <v>3</v>
      </c>
      <c r="B136" cm="1">
        <f t="array" ref="B136">INDEX('By Size'!$A$5:$A$10,MOD(ROW()-31,6)+1)</f>
        <v>100</v>
      </c>
      <c r="C136" cm="1">
        <f t="array" ref="C136">INDEX('By Target'!$A$5:$A$9,INT(MOD(ROW()-31,30)/6)+1)</f>
        <v>1200</v>
      </c>
      <c r="D136" s="10">
        <f>IF(COUNTIFS(benchmark_results[round],$A136,benchmark_results[algo],D$30,benchmark_results[n_tracks],$B136,benchmark_results[target_s],$C136,benchmark_results[timed_out],TRUE)=1,"TO",SUMIFS(benchmark_results[runtime_s],benchmark_results[round],$A136,benchmark_results[algo],D$30,benchmark_results[n_tracks],$B136,benchmark_results[target_s],$C136))</f>
        <v>9.9679999402724206E-4</v>
      </c>
      <c r="E136" s="10" t="str">
        <f>IF(COUNTIFS(benchmark_results[round],$A136,benchmark_results[algo],E$30,benchmark_results[n_tracks],$B136,benchmark_results[target_s],$C136,benchmark_results[timed_out],TRUE)=1,"TO",SUMIFS(benchmark_results[runtime_s],benchmark_results[round],$A136,benchmark_results[algo],E$30,benchmark_results[n_tracks],$B136,benchmark_results[target_s],$C136))</f>
        <v>TO</v>
      </c>
      <c r="F136" s="10">
        <f>IF(COUNTIFS(benchmark_results[round],$A136,benchmark_results[algo],F$30,benchmark_results[n_tracks],$B136,benchmark_results[target_s],$C136,benchmark_results[timed_out],TRUE)=1,"TO",SUMIFS(benchmark_results[runtime_s],benchmark_results[round],$A136,benchmark_results[algo],F$30,benchmark_results[n_tracks],$B136,benchmark_results[target_s],$C136))</f>
        <v>4.2925200003082864E-2</v>
      </c>
      <c r="G136" s="10">
        <f>IF(COUNTIFS(benchmark_results[round],$A136,benchmark_results[algo],G$30,benchmark_results[n_tracks],$B136,benchmark_results[target_s],$C136,benchmark_results[timed_out],TRUE)=1,"TO",SUMIFS(benchmark_results[runtime_s],benchmark_results[round],$A136,benchmark_results[algo],G$30,benchmark_results[n_tracks],$B136,benchmark_results[target_s],$C136))</f>
        <v>1.5668100008042529E-2</v>
      </c>
      <c r="H136" s="19">
        <f t="shared" si="6"/>
        <v>2.7396557324148496</v>
      </c>
      <c r="I136" t="str">
        <f t="shared" si="7"/>
        <v>v1</v>
      </c>
      <c r="J136">
        <f>SUMIFS(benchmark_results[gap_s],benchmark_results[round],$A136,benchmark_results[algo],$F$30,benchmark_results[n_tracks],$B136,benchmark_results[target_s],$C136)</f>
        <v>0</v>
      </c>
      <c r="K136">
        <f>SUMIFS(benchmark_results[gap_s],benchmark_results[round],$A136,benchmark_results[algo],$G$30,benchmark_results[n_tracks],$B136,benchmark_results[target_s],$C136)</f>
        <v>0</v>
      </c>
    </row>
    <row r="137" spans="1:11" x14ac:dyDescent="0.3">
      <c r="A137">
        <f t="shared" si="5"/>
        <v>3</v>
      </c>
      <c r="B137" cm="1">
        <f t="array" ref="B137">INDEX('By Size'!$A$5:$A$10,MOD(ROW()-31,6)+1)</f>
        <v>200</v>
      </c>
      <c r="C137" cm="1">
        <f t="array" ref="C137">INDEX('By Target'!$A$5:$A$9,INT(MOD(ROW()-31,30)/6)+1)</f>
        <v>1200</v>
      </c>
      <c r="D137" s="10">
        <f>IF(COUNTIFS(benchmark_results[round],$A137,benchmark_results[algo],D$30,benchmark_results[n_tracks],$B137,benchmark_results[target_s],$C137,benchmark_results[timed_out],TRUE)=1,"TO",SUMIFS(benchmark_results[runtime_s],benchmark_results[round],$A137,benchmark_results[algo],D$30,benchmark_results[n_tracks],$B137,benchmark_results[target_s],$C137))</f>
        <v>8.6500003817491233E-5</v>
      </c>
      <c r="E137" s="10" t="str">
        <f>IF(COUNTIFS(benchmark_results[round],$A137,benchmark_results[algo],E$30,benchmark_results[n_tracks],$B137,benchmark_results[target_s],$C137,benchmark_results[timed_out],TRUE)=1,"TO",SUMIFS(benchmark_results[runtime_s],benchmark_results[round],$A137,benchmark_results[algo],E$30,benchmark_results[n_tracks],$B137,benchmark_results[target_s],$C137))</f>
        <v>TO</v>
      </c>
      <c r="F137" s="10">
        <f>IF(COUNTIFS(benchmark_results[round],$A137,benchmark_results[algo],F$30,benchmark_results[n_tracks],$B137,benchmark_results[target_s],$C137,benchmark_results[timed_out],TRUE)=1,"TO",SUMIFS(benchmark_results[runtime_s],benchmark_results[round],$A137,benchmark_results[algo],F$30,benchmark_results[n_tracks],$B137,benchmark_results[target_s],$C137))</f>
        <v>9.8941700009163469E-2</v>
      </c>
      <c r="G137" s="10">
        <f>IF(COUNTIFS(benchmark_results[round],$A137,benchmark_results[algo],G$30,benchmark_results[n_tracks],$B137,benchmark_results[target_s],$C137,benchmark_results[timed_out],TRUE)=1,"TO",SUMIFS(benchmark_results[runtime_s],benchmark_results[round],$A137,benchmark_results[algo],G$30,benchmark_results[n_tracks],$B137,benchmark_results[target_s],$C137))</f>
        <v>2.5429299988900311E-2</v>
      </c>
      <c r="H137" s="19">
        <f t="shared" si="6"/>
        <v>3.8908542528638517</v>
      </c>
      <c r="I137" t="str">
        <f t="shared" si="7"/>
        <v>v1</v>
      </c>
      <c r="J137">
        <f>SUMIFS(benchmark_results[gap_s],benchmark_results[round],$A137,benchmark_results[algo],$F$30,benchmark_results[n_tracks],$B137,benchmark_results[target_s],$C137)</f>
        <v>0</v>
      </c>
      <c r="K137">
        <f>SUMIFS(benchmark_results[gap_s],benchmark_results[round],$A137,benchmark_results[algo],$G$30,benchmark_results[n_tracks],$B137,benchmark_results[target_s],$C137)</f>
        <v>0</v>
      </c>
    </row>
    <row r="138" spans="1:11" x14ac:dyDescent="0.3">
      <c r="A138">
        <f t="shared" si="5"/>
        <v>3</v>
      </c>
      <c r="B138" cm="1">
        <f t="array" ref="B138">INDEX('By Size'!$A$5:$A$10,MOD(ROW()-31,6)+1)</f>
        <v>400</v>
      </c>
      <c r="C138" cm="1">
        <f t="array" ref="C138">INDEX('By Target'!$A$5:$A$9,INT(MOD(ROW()-31,30)/6)+1)</f>
        <v>1200</v>
      </c>
      <c r="D138" s="10">
        <f>IF(COUNTIFS(benchmark_results[round],$A138,benchmark_results[algo],D$30,benchmark_results[n_tracks],$B138,benchmark_results[target_s],$C138,benchmark_results[timed_out],TRUE)=1,"TO",SUMIFS(benchmark_results[runtime_s],benchmark_results[round],$A138,benchmark_results[algo],D$30,benchmark_results[n_tracks],$B138,benchmark_results[target_s],$C138))</f>
        <v>4.2511999927228317E-3</v>
      </c>
      <c r="E138" s="10" t="str">
        <f>IF(COUNTIFS(benchmark_results[round],$A138,benchmark_results[algo],E$30,benchmark_results[n_tracks],$B138,benchmark_results[target_s],$C138,benchmark_results[timed_out],TRUE)=1,"TO",SUMIFS(benchmark_results[runtime_s],benchmark_results[round],$A138,benchmark_results[algo],E$30,benchmark_results[n_tracks],$B138,benchmark_results[target_s],$C138))</f>
        <v>TO</v>
      </c>
      <c r="F138" s="10">
        <f>IF(COUNTIFS(benchmark_results[round],$A138,benchmark_results[algo],F$30,benchmark_results[n_tracks],$B138,benchmark_results[target_s],$C138,benchmark_results[timed_out],TRUE)=1,"TO",SUMIFS(benchmark_results[runtime_s],benchmark_results[round],$A138,benchmark_results[algo],F$30,benchmark_results[n_tracks],$B138,benchmark_results[target_s],$C138))</f>
        <v>0.20329659999697469</v>
      </c>
      <c r="G138" s="10">
        <f>IF(COUNTIFS(benchmark_results[round],$A138,benchmark_results[algo],G$30,benchmark_results[n_tracks],$B138,benchmark_results[target_s],$C138,benchmark_results[timed_out],TRUE)=1,"TO",SUMIFS(benchmark_results[runtime_s],benchmark_results[round],$A138,benchmark_results[algo],G$30,benchmark_results[n_tracks],$B138,benchmark_results[target_s],$C138))</f>
        <v>5.4530200010049157E-2</v>
      </c>
      <c r="H138" s="19">
        <f t="shared" si="6"/>
        <v>3.7281469710272463</v>
      </c>
      <c r="I138" t="str">
        <f t="shared" si="7"/>
        <v>v1</v>
      </c>
      <c r="J138">
        <f>SUMIFS(benchmark_results[gap_s],benchmark_results[round],$A138,benchmark_results[algo],$F$30,benchmark_results[n_tracks],$B138,benchmark_results[target_s],$C138)</f>
        <v>0</v>
      </c>
      <c r="K138">
        <f>SUMIFS(benchmark_results[gap_s],benchmark_results[round],$A138,benchmark_results[algo],$G$30,benchmark_results[n_tracks],$B138,benchmark_results[target_s],$C138)</f>
        <v>0</v>
      </c>
    </row>
    <row r="139" spans="1:11" x14ac:dyDescent="0.3">
      <c r="A139">
        <f t="shared" si="5"/>
        <v>3</v>
      </c>
      <c r="B139" cm="1">
        <f t="array" ref="B139">INDEX('By Size'!$A$5:$A$10,MOD(ROW()-31,6)+1)</f>
        <v>10</v>
      </c>
      <c r="C139" cm="1">
        <f t="array" ref="C139">INDEX('By Target'!$A$5:$A$9,INT(MOD(ROW()-31,30)/6)+1)</f>
        <v>3600</v>
      </c>
      <c r="D139" s="10">
        <f>IF(COUNTIFS(benchmark_results[round],$A139,benchmark_results[algo],D$30,benchmark_results[n_tracks],$B139,benchmark_results[target_s],$C139,benchmark_results[timed_out],TRUE)=1,"TO",SUMIFS(benchmark_results[runtime_s],benchmark_results[round],$A139,benchmark_results[algo],D$30,benchmark_results[n_tracks],$B139,benchmark_results[target_s],$C139))</f>
        <v>1.7700003809295595E-5</v>
      </c>
      <c r="E139" s="10">
        <f>IF(COUNTIFS(benchmark_results[round],$A139,benchmark_results[algo],E$30,benchmark_results[n_tracks],$B139,benchmark_results[target_s],$C139,benchmark_results[timed_out],TRUE)=1,"TO",SUMIFS(benchmark_results[runtime_s],benchmark_results[round],$A139,benchmark_results[algo],E$30,benchmark_results[n_tracks],$B139,benchmark_results[target_s],$C139))</f>
        <v>5.7970000489149243E-4</v>
      </c>
      <c r="F139" s="10">
        <f>IF(COUNTIFS(benchmark_results[round],$A139,benchmark_results[algo],F$30,benchmark_results[n_tracks],$B139,benchmark_results[target_s],$C139,benchmark_results[timed_out],TRUE)=1,"TO",SUMIFS(benchmark_results[runtime_s],benchmark_results[round],$A139,benchmark_results[algo],F$30,benchmark_results[n_tracks],$B139,benchmark_results[target_s],$C139))</f>
        <v>6.8630000168923289E-4</v>
      </c>
      <c r="G139" s="10">
        <f>IF(COUNTIFS(benchmark_results[round],$A139,benchmark_results[algo],G$30,benchmark_results[n_tracks],$B139,benchmark_results[target_s],$C139,benchmark_results[timed_out],TRUE)=1,"TO",SUMIFS(benchmark_results[runtime_s],benchmark_results[round],$A139,benchmark_results[algo],G$30,benchmark_results[n_tracks],$B139,benchmark_results[target_s],$C139))</f>
        <v>6.5729999914765358E-4</v>
      </c>
      <c r="H139" s="19">
        <f t="shared" si="6"/>
        <v>1.0441198882993834</v>
      </c>
      <c r="I139" t="str">
        <f t="shared" si="7"/>
        <v>v1</v>
      </c>
      <c r="J139">
        <f>SUMIFS(benchmark_results[gap_s],benchmark_results[round],$A139,benchmark_results[algo],$F$30,benchmark_results[n_tracks],$B139,benchmark_results[target_s],$C139)</f>
        <v>93</v>
      </c>
      <c r="K139">
        <f>SUMIFS(benchmark_results[gap_s],benchmark_results[round],$A139,benchmark_results[algo],$G$30,benchmark_results[n_tracks],$B139,benchmark_results[target_s],$C139)</f>
        <v>93</v>
      </c>
    </row>
    <row r="140" spans="1:11" x14ac:dyDescent="0.3">
      <c r="A140">
        <f t="shared" si="5"/>
        <v>3</v>
      </c>
      <c r="B140" cm="1">
        <f t="array" ref="B140">INDEX('By Size'!$A$5:$A$10,MOD(ROW()-31,6)+1)</f>
        <v>30</v>
      </c>
      <c r="C140" cm="1">
        <f t="array" ref="C140">INDEX('By Target'!$A$5:$A$9,INT(MOD(ROW()-31,30)/6)+1)</f>
        <v>3600</v>
      </c>
      <c r="D140" s="10">
        <f>IF(COUNTIFS(benchmark_results[round],$A140,benchmark_results[algo],D$30,benchmark_results[n_tracks],$B140,benchmark_results[target_s],$C140,benchmark_results[timed_out],TRUE)=1,"TO",SUMIFS(benchmark_results[runtime_s],benchmark_results[round],$A140,benchmark_results[algo],D$30,benchmark_results[n_tracks],$B140,benchmark_results[target_s],$C140))</f>
        <v>7.435000006807968E-4</v>
      </c>
      <c r="E140" s="10" t="str">
        <f>IF(COUNTIFS(benchmark_results[round],$A140,benchmark_results[algo],E$30,benchmark_results[n_tracks],$B140,benchmark_results[target_s],$C140,benchmark_results[timed_out],TRUE)=1,"TO",SUMIFS(benchmark_results[runtime_s],benchmark_results[round],$A140,benchmark_results[algo],E$30,benchmark_results[n_tracks],$B140,benchmark_results[target_s],$C140))</f>
        <v>TO</v>
      </c>
      <c r="F140" s="10">
        <f>IF(COUNTIFS(benchmark_results[round],$A140,benchmark_results[algo],F$30,benchmark_results[n_tracks],$B140,benchmark_results[target_s],$C140,benchmark_results[timed_out],TRUE)=1,"TO",SUMIFS(benchmark_results[runtime_s],benchmark_results[round],$A140,benchmark_results[algo],F$30,benchmark_results[n_tracks],$B140,benchmark_results[target_s],$C140))</f>
        <v>4.4503500001155771E-2</v>
      </c>
      <c r="G140" s="10">
        <f>IF(COUNTIFS(benchmark_results[round],$A140,benchmark_results[algo],G$30,benchmark_results[n_tracks],$B140,benchmark_results[target_s],$C140,benchmark_results[timed_out],TRUE)=1,"TO",SUMIFS(benchmark_results[runtime_s],benchmark_results[round],$A140,benchmark_results[algo],G$30,benchmark_results[n_tracks],$B140,benchmark_results[target_s],$C140))</f>
        <v>1.4431599993258715E-2</v>
      </c>
      <c r="H140" s="19">
        <f t="shared" si="6"/>
        <v>3.0837537086632274</v>
      </c>
      <c r="I140" t="str">
        <f t="shared" si="7"/>
        <v>v1</v>
      </c>
      <c r="J140">
        <f>SUMIFS(benchmark_results[gap_s],benchmark_results[round],$A140,benchmark_results[algo],$F$30,benchmark_results[n_tracks],$B140,benchmark_results[target_s],$C140)</f>
        <v>0</v>
      </c>
      <c r="K140">
        <f>SUMIFS(benchmark_results[gap_s],benchmark_results[round],$A140,benchmark_results[algo],$G$30,benchmark_results[n_tracks],$B140,benchmark_results[target_s],$C140)</f>
        <v>0</v>
      </c>
    </row>
    <row r="141" spans="1:11" x14ac:dyDescent="0.3">
      <c r="A141">
        <f t="shared" si="5"/>
        <v>3</v>
      </c>
      <c r="B141" cm="1">
        <f t="array" ref="B141">INDEX('By Size'!$A$5:$A$10,MOD(ROW()-31,6)+1)</f>
        <v>50</v>
      </c>
      <c r="C141" cm="1">
        <f t="array" ref="C141">INDEX('By Target'!$A$5:$A$9,INT(MOD(ROW()-31,30)/6)+1)</f>
        <v>3600</v>
      </c>
      <c r="D141" s="10">
        <f>IF(COUNTIFS(benchmark_results[round],$A141,benchmark_results[algo],D$30,benchmark_results[n_tracks],$B141,benchmark_results[target_s],$C141,benchmark_results[timed_out],TRUE)=1,"TO",SUMIFS(benchmark_results[runtime_s],benchmark_results[round],$A141,benchmark_results[algo],D$30,benchmark_results[n_tracks],$B141,benchmark_results[target_s],$C141))</f>
        <v>1.6339999274350703E-4</v>
      </c>
      <c r="E141" s="10" t="str">
        <f>IF(COUNTIFS(benchmark_results[round],$A141,benchmark_results[algo],E$30,benchmark_results[n_tracks],$B141,benchmark_results[target_s],$C141,benchmark_results[timed_out],TRUE)=1,"TO",SUMIFS(benchmark_results[runtime_s],benchmark_results[round],$A141,benchmark_results[algo],E$30,benchmark_results[n_tracks],$B141,benchmark_results[target_s],$C141))</f>
        <v>TO</v>
      </c>
      <c r="F141" s="10">
        <f>IF(COUNTIFS(benchmark_results[round],$A141,benchmark_results[algo],F$30,benchmark_results[n_tracks],$B141,benchmark_results[target_s],$C141,benchmark_results[timed_out],TRUE)=1,"TO",SUMIFS(benchmark_results[runtime_s],benchmark_results[round],$A141,benchmark_results[algo],F$30,benchmark_results[n_tracks],$B141,benchmark_results[target_s],$C141))</f>
        <v>7.079689999227412E-2</v>
      </c>
      <c r="G141" s="10">
        <f>IF(COUNTIFS(benchmark_results[round],$A141,benchmark_results[algo],G$30,benchmark_results[n_tracks],$B141,benchmark_results[target_s],$C141,benchmark_results[timed_out],TRUE)=1,"TO",SUMIFS(benchmark_results[runtime_s],benchmark_results[round],$A141,benchmark_results[algo],G$30,benchmark_results[n_tracks],$B141,benchmark_results[target_s],$C141))</f>
        <v>2.2628699996857904E-2</v>
      </c>
      <c r="H141" s="19">
        <f t="shared" si="6"/>
        <v>3.1286331076069147</v>
      </c>
      <c r="I141" t="str">
        <f t="shared" si="7"/>
        <v>v1</v>
      </c>
      <c r="J141">
        <f>SUMIFS(benchmark_results[gap_s],benchmark_results[round],$A141,benchmark_results[algo],$F$30,benchmark_results[n_tracks],$B141,benchmark_results[target_s],$C141)</f>
        <v>0</v>
      </c>
      <c r="K141">
        <f>SUMIFS(benchmark_results[gap_s],benchmark_results[round],$A141,benchmark_results[algo],$G$30,benchmark_results[n_tracks],$B141,benchmark_results[target_s],$C141)</f>
        <v>0</v>
      </c>
    </row>
    <row r="142" spans="1:11" x14ac:dyDescent="0.3">
      <c r="A142">
        <f t="shared" si="5"/>
        <v>3</v>
      </c>
      <c r="B142" cm="1">
        <f t="array" ref="B142">INDEX('By Size'!$A$5:$A$10,MOD(ROW()-31,6)+1)</f>
        <v>100</v>
      </c>
      <c r="C142" cm="1">
        <f t="array" ref="C142">INDEX('By Target'!$A$5:$A$9,INT(MOD(ROW()-31,30)/6)+1)</f>
        <v>3600</v>
      </c>
      <c r="D142" s="10">
        <f>IF(COUNTIFS(benchmark_results[round],$A142,benchmark_results[algo],D$30,benchmark_results[n_tracks],$B142,benchmark_results[target_s],$C142,benchmark_results[timed_out],TRUE)=1,"TO",SUMIFS(benchmark_results[runtime_s],benchmark_results[round],$A142,benchmark_results[algo],D$30,benchmark_results[n_tracks],$B142,benchmark_results[target_s],$C142))</f>
        <v>1.0140000085812062E-4</v>
      </c>
      <c r="E142" s="10" t="str">
        <f>IF(COUNTIFS(benchmark_results[round],$A142,benchmark_results[algo],E$30,benchmark_results[n_tracks],$B142,benchmark_results[target_s],$C142,benchmark_results[timed_out],TRUE)=1,"TO",SUMIFS(benchmark_results[runtime_s],benchmark_results[round],$A142,benchmark_results[algo],E$30,benchmark_results[n_tracks],$B142,benchmark_results[target_s],$C142))</f>
        <v>TO</v>
      </c>
      <c r="F142" s="10">
        <f>IF(COUNTIFS(benchmark_results[round],$A142,benchmark_results[algo],F$30,benchmark_results[n_tracks],$B142,benchmark_results[target_s],$C142,benchmark_results[timed_out],TRUE)=1,"TO",SUMIFS(benchmark_results[runtime_s],benchmark_results[round],$A142,benchmark_results[algo],F$30,benchmark_results[n_tracks],$B142,benchmark_results[target_s],$C142))</f>
        <v>0.20781689998693764</v>
      </c>
      <c r="G142" s="10">
        <f>IF(COUNTIFS(benchmark_results[round],$A142,benchmark_results[algo],G$30,benchmark_results[n_tracks],$B142,benchmark_results[target_s],$C142,benchmark_results[timed_out],TRUE)=1,"TO",SUMIFS(benchmark_results[runtime_s],benchmark_results[round],$A142,benchmark_results[algo],G$30,benchmark_results[n_tracks],$B142,benchmark_results[target_s],$C142))</f>
        <v>7.6891900011105463E-2</v>
      </c>
      <c r="H142" s="19">
        <f t="shared" si="6"/>
        <v>2.7027151098740276</v>
      </c>
      <c r="I142" t="str">
        <f t="shared" si="7"/>
        <v>v1</v>
      </c>
      <c r="J142">
        <f>SUMIFS(benchmark_results[gap_s],benchmark_results[round],$A142,benchmark_results[algo],$F$30,benchmark_results[n_tracks],$B142,benchmark_results[target_s],$C142)</f>
        <v>0</v>
      </c>
      <c r="K142">
        <f>SUMIFS(benchmark_results[gap_s],benchmark_results[round],$A142,benchmark_results[algo],$G$30,benchmark_results[n_tracks],$B142,benchmark_results[target_s],$C142)</f>
        <v>0</v>
      </c>
    </row>
    <row r="143" spans="1:11" x14ac:dyDescent="0.3">
      <c r="A143">
        <f t="shared" si="5"/>
        <v>3</v>
      </c>
      <c r="B143" cm="1">
        <f t="array" ref="B143">INDEX('By Size'!$A$5:$A$10,MOD(ROW()-31,6)+1)</f>
        <v>200</v>
      </c>
      <c r="C143" cm="1">
        <f t="array" ref="C143">INDEX('By Target'!$A$5:$A$9,INT(MOD(ROW()-31,30)/6)+1)</f>
        <v>3600</v>
      </c>
      <c r="D143" s="10">
        <f>IF(COUNTIFS(benchmark_results[round],$A143,benchmark_results[algo],D$30,benchmark_results[n_tracks],$B143,benchmark_results[target_s],$C143,benchmark_results[timed_out],TRUE)=1,"TO",SUMIFS(benchmark_results[runtime_s],benchmark_results[round],$A143,benchmark_results[algo],D$30,benchmark_results[n_tracks],$B143,benchmark_results[target_s],$C143))</f>
        <v>2.5830000231508166E-4</v>
      </c>
      <c r="E143" s="10" t="str">
        <f>IF(COUNTIFS(benchmark_results[round],$A143,benchmark_results[algo],E$30,benchmark_results[n_tracks],$B143,benchmark_results[target_s],$C143,benchmark_results[timed_out],TRUE)=1,"TO",SUMIFS(benchmark_results[runtime_s],benchmark_results[round],$A143,benchmark_results[algo],E$30,benchmark_results[n_tracks],$B143,benchmark_results[target_s],$C143))</f>
        <v>TO</v>
      </c>
      <c r="F143" s="10">
        <f>IF(COUNTIFS(benchmark_results[round],$A143,benchmark_results[algo],F$30,benchmark_results[n_tracks],$B143,benchmark_results[target_s],$C143,benchmark_results[timed_out],TRUE)=1,"TO",SUMIFS(benchmark_results[runtime_s],benchmark_results[round],$A143,benchmark_results[algo],F$30,benchmark_results[n_tracks],$B143,benchmark_results[target_s],$C143))</f>
        <v>0.58520139999745879</v>
      </c>
      <c r="G143" s="10">
        <f>IF(COUNTIFS(benchmark_results[round],$A143,benchmark_results[algo],G$30,benchmark_results[n_tracks],$B143,benchmark_results[target_s],$C143,benchmark_results[timed_out],TRUE)=1,"TO",SUMIFS(benchmark_results[runtime_s],benchmark_results[round],$A143,benchmark_results[algo],G$30,benchmark_results[n_tracks],$B143,benchmark_results[target_s],$C143))</f>
        <v>0.19955810000828933</v>
      </c>
      <c r="H143" s="19">
        <f t="shared" si="6"/>
        <v>2.9324863284083706</v>
      </c>
      <c r="I143" t="str">
        <f t="shared" si="7"/>
        <v>v1</v>
      </c>
      <c r="J143">
        <f>SUMIFS(benchmark_results[gap_s],benchmark_results[round],$A143,benchmark_results[algo],$F$30,benchmark_results[n_tracks],$B143,benchmark_results[target_s],$C143)</f>
        <v>0</v>
      </c>
      <c r="K143">
        <f>SUMIFS(benchmark_results[gap_s],benchmark_results[round],$A143,benchmark_results[algo],$G$30,benchmark_results[n_tracks],$B143,benchmark_results[target_s],$C143)</f>
        <v>0</v>
      </c>
    </row>
    <row r="144" spans="1:11" x14ac:dyDescent="0.3">
      <c r="A144">
        <f t="shared" si="5"/>
        <v>3</v>
      </c>
      <c r="B144" cm="1">
        <f t="array" ref="B144">INDEX('By Size'!$A$5:$A$10,MOD(ROW()-31,6)+1)</f>
        <v>400</v>
      </c>
      <c r="C144" cm="1">
        <f t="array" ref="C144">INDEX('By Target'!$A$5:$A$9,INT(MOD(ROW()-31,30)/6)+1)</f>
        <v>3600</v>
      </c>
      <c r="D144" s="10">
        <f>IF(COUNTIFS(benchmark_results[round],$A144,benchmark_results[algo],D$30,benchmark_results[n_tracks],$B144,benchmark_results[target_s],$C144,benchmark_results[timed_out],TRUE)=1,"TO",SUMIFS(benchmark_results[runtime_s],benchmark_results[round],$A144,benchmark_results[algo],D$30,benchmark_results[n_tracks],$B144,benchmark_results[target_s],$C144))</f>
        <v>3.7629999860655516E-4</v>
      </c>
      <c r="E144" s="10" t="str">
        <f>IF(COUNTIFS(benchmark_results[round],$A144,benchmark_results[algo],E$30,benchmark_results[n_tracks],$B144,benchmark_results[target_s],$C144,benchmark_results[timed_out],TRUE)=1,"TO",SUMIFS(benchmark_results[runtime_s],benchmark_results[round],$A144,benchmark_results[algo],E$30,benchmark_results[n_tracks],$B144,benchmark_results[target_s],$C144))</f>
        <v>TO</v>
      </c>
      <c r="F144" s="10">
        <f>IF(COUNTIFS(benchmark_results[round],$A144,benchmark_results[algo],F$30,benchmark_results[n_tracks],$B144,benchmark_results[target_s],$C144,benchmark_results[timed_out],TRUE)=1,"TO",SUMIFS(benchmark_results[runtime_s],benchmark_results[round],$A144,benchmark_results[algo],F$30,benchmark_results[n_tracks],$B144,benchmark_results[target_s],$C144))</f>
        <v>1.0389460000005784</v>
      </c>
      <c r="G144" s="10">
        <f>IF(COUNTIFS(benchmark_results[round],$A144,benchmark_results[algo],G$30,benchmark_results[n_tracks],$B144,benchmark_results[target_s],$C144,benchmark_results[timed_out],TRUE)=1,"TO",SUMIFS(benchmark_results[runtime_s],benchmark_results[round],$A144,benchmark_results[algo],G$30,benchmark_results[n_tracks],$B144,benchmark_results[target_s],$C144))</f>
        <v>0.33493749999615829</v>
      </c>
      <c r="H144" s="19">
        <f t="shared" si="6"/>
        <v>3.1019100578839187</v>
      </c>
      <c r="I144" t="str">
        <f t="shared" si="7"/>
        <v>v1</v>
      </c>
      <c r="J144">
        <f>SUMIFS(benchmark_results[gap_s],benchmark_results[round],$A144,benchmark_results[algo],$F$30,benchmark_results[n_tracks],$B144,benchmark_results[target_s],$C144)</f>
        <v>0</v>
      </c>
      <c r="K144">
        <f>SUMIFS(benchmark_results[gap_s],benchmark_results[round],$A144,benchmark_results[algo],$G$30,benchmark_results[n_tracks],$B144,benchmark_results[target_s],$C144)</f>
        <v>0</v>
      </c>
    </row>
    <row r="145" spans="1:11" x14ac:dyDescent="0.3">
      <c r="A145">
        <f t="shared" si="5"/>
        <v>3</v>
      </c>
      <c r="B145" cm="1">
        <f t="array" ref="B145">INDEX('By Size'!$A$5:$A$10,MOD(ROW()-31,6)+1)</f>
        <v>10</v>
      </c>
      <c r="C145" cm="1">
        <f t="array" ref="C145">INDEX('By Target'!$A$5:$A$9,INT(MOD(ROW()-31,30)/6)+1)</f>
        <v>7200</v>
      </c>
      <c r="D145" s="10">
        <f>IF(COUNTIFS(benchmark_results[round],$A145,benchmark_results[algo],D$30,benchmark_results[n_tracks],$B145,benchmark_results[target_s],$C145,benchmark_results[timed_out],TRUE)=1,"TO",SUMIFS(benchmark_results[runtime_s],benchmark_results[round],$A145,benchmark_results[algo],D$30,benchmark_results[n_tracks],$B145,benchmark_results[target_s],$C145))</f>
        <v>2.7600006433203816E-5</v>
      </c>
      <c r="E145" s="10">
        <f>IF(COUNTIFS(benchmark_results[round],$A145,benchmark_results[algo],E$30,benchmark_results[n_tracks],$B145,benchmark_results[target_s],$C145,benchmark_results[timed_out],TRUE)=1,"TO",SUMIFS(benchmark_results[runtime_s],benchmark_results[round],$A145,benchmark_results[algo],E$30,benchmark_results[n_tracks],$B145,benchmark_results[target_s],$C145))</f>
        <v>5.2699999650940299E-4</v>
      </c>
      <c r="F145" s="10">
        <f>IF(COUNTIFS(benchmark_results[round],$A145,benchmark_results[algo],F$30,benchmark_results[n_tracks],$B145,benchmark_results[target_s],$C145,benchmark_results[timed_out],TRUE)=1,"TO",SUMIFS(benchmark_results[runtime_s],benchmark_results[round],$A145,benchmark_results[algo],F$30,benchmark_results[n_tracks],$B145,benchmark_results[target_s],$C145))</f>
        <v>5.2120001055300236E-4</v>
      </c>
      <c r="G145" s="10">
        <f>IF(COUNTIFS(benchmark_results[round],$A145,benchmark_results[algo],G$30,benchmark_results[n_tracks],$B145,benchmark_results[target_s],$C145,benchmark_results[timed_out],TRUE)=1,"TO",SUMIFS(benchmark_results[runtime_s],benchmark_results[round],$A145,benchmark_results[algo],G$30,benchmark_results[n_tracks],$B145,benchmark_results[target_s],$C145))</f>
        <v>3.5639999259728938E-4</v>
      </c>
      <c r="H145" s="19">
        <f t="shared" si="6"/>
        <v>1.4624018557203706</v>
      </c>
      <c r="I145" t="str">
        <f t="shared" si="7"/>
        <v>v1</v>
      </c>
      <c r="J145">
        <f>SUMIFS(benchmark_results[gap_s],benchmark_results[round],$A145,benchmark_results[algo],$F$30,benchmark_results[n_tracks],$B145,benchmark_results[target_s],$C145)</f>
        <v>5163</v>
      </c>
      <c r="K145">
        <f>SUMIFS(benchmark_results[gap_s],benchmark_results[round],$A145,benchmark_results[algo],$G$30,benchmark_results[n_tracks],$B145,benchmark_results[target_s],$C145)</f>
        <v>5071</v>
      </c>
    </row>
    <row r="146" spans="1:11" x14ac:dyDescent="0.3">
      <c r="A146">
        <f t="shared" si="5"/>
        <v>3</v>
      </c>
      <c r="B146" cm="1">
        <f t="array" ref="B146">INDEX('By Size'!$A$5:$A$10,MOD(ROW()-31,6)+1)</f>
        <v>30</v>
      </c>
      <c r="C146" cm="1">
        <f t="array" ref="C146">INDEX('By Target'!$A$5:$A$9,INT(MOD(ROW()-31,30)/6)+1)</f>
        <v>7200</v>
      </c>
      <c r="D146" s="10">
        <f>IF(COUNTIFS(benchmark_results[round],$A146,benchmark_results[algo],D$30,benchmark_results[n_tracks],$B146,benchmark_results[target_s],$C146,benchmark_results[timed_out],TRUE)=1,"TO",SUMIFS(benchmark_results[runtime_s],benchmark_results[round],$A146,benchmark_results[algo],D$30,benchmark_results[n_tracks],$B146,benchmark_results[target_s],$C146))</f>
        <v>9.5999988843686879E-5</v>
      </c>
      <c r="E146" s="10" t="str">
        <f>IF(COUNTIFS(benchmark_results[round],$A146,benchmark_results[algo],E$30,benchmark_results[n_tracks],$B146,benchmark_results[target_s],$C146,benchmark_results[timed_out],TRUE)=1,"TO",SUMIFS(benchmark_results[runtime_s],benchmark_results[round],$A146,benchmark_results[algo],E$30,benchmark_results[n_tracks],$B146,benchmark_results[target_s],$C146))</f>
        <v>TO</v>
      </c>
      <c r="F146" s="10">
        <f>IF(COUNTIFS(benchmark_results[round],$A146,benchmark_results[algo],F$30,benchmark_results[n_tracks],$B146,benchmark_results[target_s],$C146,benchmark_results[timed_out],TRUE)=1,"TO",SUMIFS(benchmark_results[runtime_s],benchmark_results[round],$A146,benchmark_results[algo],F$30,benchmark_results[n_tracks],$B146,benchmark_results[target_s],$C146))</f>
        <v>6.0041800010367297E-2</v>
      </c>
      <c r="G146" s="10">
        <f>IF(COUNTIFS(benchmark_results[round],$A146,benchmark_results[algo],G$30,benchmark_results[n_tracks],$B146,benchmark_results[target_s],$C146,benchmark_results[timed_out],TRUE)=1,"TO",SUMIFS(benchmark_results[runtime_s],benchmark_results[round],$A146,benchmark_results[algo],G$30,benchmark_results[n_tracks],$B146,benchmark_results[target_s],$C146))</f>
        <v>1.6950099990935996E-2</v>
      </c>
      <c r="H146" s="19">
        <f t="shared" si="6"/>
        <v>3.5422681897141861</v>
      </c>
      <c r="I146" t="str">
        <f t="shared" si="7"/>
        <v>v1</v>
      </c>
      <c r="J146">
        <f>SUMIFS(benchmark_results[gap_s],benchmark_results[round],$A146,benchmark_results[algo],$F$30,benchmark_results[n_tracks],$B146,benchmark_results[target_s],$C146)</f>
        <v>2</v>
      </c>
      <c r="K146">
        <f>SUMIFS(benchmark_results[gap_s],benchmark_results[round],$A146,benchmark_results[algo],$G$30,benchmark_results[n_tracks],$B146,benchmark_results[target_s],$C146)</f>
        <v>0</v>
      </c>
    </row>
    <row r="147" spans="1:11" x14ac:dyDescent="0.3">
      <c r="A147">
        <f t="shared" si="5"/>
        <v>3</v>
      </c>
      <c r="B147" cm="1">
        <f t="array" ref="B147">INDEX('By Size'!$A$5:$A$10,MOD(ROW()-31,6)+1)</f>
        <v>50</v>
      </c>
      <c r="C147" cm="1">
        <f t="array" ref="C147">INDEX('By Target'!$A$5:$A$9,INT(MOD(ROW()-31,30)/6)+1)</f>
        <v>7200</v>
      </c>
      <c r="D147" s="10">
        <f>IF(COUNTIFS(benchmark_results[round],$A147,benchmark_results[algo],D$30,benchmark_results[n_tracks],$B147,benchmark_results[target_s],$C147,benchmark_results[timed_out],TRUE)=1,"TO",SUMIFS(benchmark_results[runtime_s],benchmark_results[round],$A147,benchmark_results[algo],D$30,benchmark_results[n_tracks],$B147,benchmark_results[target_s],$C147))</f>
        <v>3.8630000199191272E-4</v>
      </c>
      <c r="E147" s="10" t="str">
        <f>IF(COUNTIFS(benchmark_results[round],$A147,benchmark_results[algo],E$30,benchmark_results[n_tracks],$B147,benchmark_results[target_s],$C147,benchmark_results[timed_out],TRUE)=1,"TO",SUMIFS(benchmark_results[runtime_s],benchmark_results[round],$A147,benchmark_results[algo],E$30,benchmark_results[n_tracks],$B147,benchmark_results[target_s],$C147))</f>
        <v>TO</v>
      </c>
      <c r="F147" s="10">
        <f>IF(COUNTIFS(benchmark_results[round],$A147,benchmark_results[algo],F$30,benchmark_results[n_tracks],$B147,benchmark_results[target_s],$C147,benchmark_results[timed_out],TRUE)=1,"TO",SUMIFS(benchmark_results[runtime_s],benchmark_results[round],$A147,benchmark_results[algo],F$30,benchmark_results[n_tracks],$B147,benchmark_results[target_s],$C147))</f>
        <v>0.15996750000340398</v>
      </c>
      <c r="G147" s="10">
        <f>IF(COUNTIFS(benchmark_results[round],$A147,benchmark_results[algo],G$30,benchmark_results[n_tracks],$B147,benchmark_results[target_s],$C147,benchmark_results[timed_out],TRUE)=1,"TO",SUMIFS(benchmark_results[runtime_s],benchmark_results[round],$A147,benchmark_results[algo],G$30,benchmark_results[n_tracks],$B147,benchmark_results[target_s],$C147))</f>
        <v>5.933970000478439E-2</v>
      </c>
      <c r="H147" s="19">
        <f t="shared" si="6"/>
        <v>2.6957921929249098</v>
      </c>
      <c r="I147" t="str">
        <f t="shared" si="7"/>
        <v>v1</v>
      </c>
      <c r="J147">
        <f>SUMIFS(benchmark_results[gap_s],benchmark_results[round],$A147,benchmark_results[algo],$F$30,benchmark_results[n_tracks],$B147,benchmark_results[target_s],$C147)</f>
        <v>0</v>
      </c>
      <c r="K147">
        <f>SUMIFS(benchmark_results[gap_s],benchmark_results[round],$A147,benchmark_results[algo],$G$30,benchmark_results[n_tracks],$B147,benchmark_results[target_s],$C147)</f>
        <v>0</v>
      </c>
    </row>
    <row r="148" spans="1:11" x14ac:dyDescent="0.3">
      <c r="A148">
        <f t="shared" si="5"/>
        <v>3</v>
      </c>
      <c r="B148" cm="1">
        <f t="array" ref="B148">INDEX('By Size'!$A$5:$A$10,MOD(ROW()-31,6)+1)</f>
        <v>100</v>
      </c>
      <c r="C148" cm="1">
        <f t="array" ref="C148">INDEX('By Target'!$A$5:$A$9,INT(MOD(ROW()-31,30)/6)+1)</f>
        <v>7200</v>
      </c>
      <c r="D148" s="10">
        <f>IF(COUNTIFS(benchmark_results[round],$A148,benchmark_results[algo],D$30,benchmark_results[n_tracks],$B148,benchmark_results[target_s],$C148,benchmark_results[timed_out],TRUE)=1,"TO",SUMIFS(benchmark_results[runtime_s],benchmark_results[round],$A148,benchmark_results[algo],D$30,benchmark_results[n_tracks],$B148,benchmark_results[target_s],$C148))</f>
        <v>7.2590001218486577E-4</v>
      </c>
      <c r="E148" s="10" t="str">
        <f>IF(COUNTIFS(benchmark_results[round],$A148,benchmark_results[algo],E$30,benchmark_results[n_tracks],$B148,benchmark_results[target_s],$C148,benchmark_results[timed_out],TRUE)=1,"TO",SUMIFS(benchmark_results[runtime_s],benchmark_results[round],$A148,benchmark_results[algo],E$30,benchmark_results[n_tracks],$B148,benchmark_results[target_s],$C148))</f>
        <v>TO</v>
      </c>
      <c r="F148" s="10">
        <f>IF(COUNTIFS(benchmark_results[round],$A148,benchmark_results[algo],F$30,benchmark_results[n_tracks],$B148,benchmark_results[target_s],$C148,benchmark_results[timed_out],TRUE)=1,"TO",SUMIFS(benchmark_results[runtime_s],benchmark_results[round],$A148,benchmark_results[algo],F$30,benchmark_results[n_tracks],$B148,benchmark_results[target_s],$C148))</f>
        <v>0.51571570000669453</v>
      </c>
      <c r="G148" s="10">
        <f>IF(COUNTIFS(benchmark_results[round],$A148,benchmark_results[algo],G$30,benchmark_results[n_tracks],$B148,benchmark_results[target_s],$C148,benchmark_results[timed_out],TRUE)=1,"TO",SUMIFS(benchmark_results[runtime_s],benchmark_results[round],$A148,benchmark_results[algo],G$30,benchmark_results[n_tracks],$B148,benchmark_results[target_s],$C148))</f>
        <v>0.20452920001116581</v>
      </c>
      <c r="H148" s="19">
        <f t="shared" si="6"/>
        <v>2.5214771288331455</v>
      </c>
      <c r="I148" t="str">
        <f t="shared" si="7"/>
        <v>v1</v>
      </c>
      <c r="J148">
        <f>SUMIFS(benchmark_results[gap_s],benchmark_results[round],$A148,benchmark_results[algo],$F$30,benchmark_results[n_tracks],$B148,benchmark_results[target_s],$C148)</f>
        <v>0</v>
      </c>
      <c r="K148">
        <f>SUMIFS(benchmark_results[gap_s],benchmark_results[round],$A148,benchmark_results[algo],$G$30,benchmark_results[n_tracks],$B148,benchmark_results[target_s],$C148)</f>
        <v>0</v>
      </c>
    </row>
    <row r="149" spans="1:11" x14ac:dyDescent="0.3">
      <c r="A149">
        <f t="shared" si="5"/>
        <v>3</v>
      </c>
      <c r="B149" cm="1">
        <f t="array" ref="B149">INDEX('By Size'!$A$5:$A$10,MOD(ROW()-31,6)+1)</f>
        <v>200</v>
      </c>
      <c r="C149" cm="1">
        <f t="array" ref="C149">INDEX('By Target'!$A$5:$A$9,INT(MOD(ROW()-31,30)/6)+1)</f>
        <v>7200</v>
      </c>
      <c r="D149" s="10">
        <f>IF(COUNTIFS(benchmark_results[round],$A149,benchmark_results[algo],D$30,benchmark_results[n_tracks],$B149,benchmark_results[target_s],$C149,benchmark_results[timed_out],TRUE)=1,"TO",SUMIFS(benchmark_results[runtime_s],benchmark_results[round],$A149,benchmark_results[algo],D$30,benchmark_results[n_tracks],$B149,benchmark_results[target_s],$C149))</f>
        <v>5.8130000252276659E-4</v>
      </c>
      <c r="E149" s="10" t="str">
        <f>IF(COUNTIFS(benchmark_results[round],$A149,benchmark_results[algo],E$30,benchmark_results[n_tracks],$B149,benchmark_results[target_s],$C149,benchmark_results[timed_out],TRUE)=1,"TO",SUMIFS(benchmark_results[runtime_s],benchmark_results[round],$A149,benchmark_results[algo],E$30,benchmark_results[n_tracks],$B149,benchmark_results[target_s],$C149))</f>
        <v>TO</v>
      </c>
      <c r="F149" s="10">
        <f>IF(COUNTIFS(benchmark_results[round],$A149,benchmark_results[algo],F$30,benchmark_results[n_tracks],$B149,benchmark_results[target_s],$C149,benchmark_results[timed_out],TRUE)=1,"TO",SUMIFS(benchmark_results[runtime_s],benchmark_results[round],$A149,benchmark_results[algo],F$30,benchmark_results[n_tracks],$B149,benchmark_results[target_s],$C149))</f>
        <v>1.0913659999932861</v>
      </c>
      <c r="G149" s="10">
        <f>IF(COUNTIFS(benchmark_results[round],$A149,benchmark_results[algo],G$30,benchmark_results[n_tracks],$B149,benchmark_results[target_s],$C149,benchmark_results[timed_out],TRUE)=1,"TO",SUMIFS(benchmark_results[runtime_s],benchmark_results[round],$A149,benchmark_results[algo],G$30,benchmark_results[n_tracks],$B149,benchmark_results[target_s],$C149))</f>
        <v>0.41122470000118483</v>
      </c>
      <c r="H149" s="19">
        <f t="shared" si="6"/>
        <v>2.6539407773661008</v>
      </c>
      <c r="I149" t="str">
        <f t="shared" si="7"/>
        <v>v1</v>
      </c>
      <c r="J149">
        <f>SUMIFS(benchmark_results[gap_s],benchmark_results[round],$A149,benchmark_results[algo],$F$30,benchmark_results[n_tracks],$B149,benchmark_results[target_s],$C149)</f>
        <v>0</v>
      </c>
      <c r="K149">
        <f>SUMIFS(benchmark_results[gap_s],benchmark_results[round],$A149,benchmark_results[algo],$G$30,benchmark_results[n_tracks],$B149,benchmark_results[target_s],$C149)</f>
        <v>0</v>
      </c>
    </row>
    <row r="150" spans="1:11" x14ac:dyDescent="0.3">
      <c r="A150">
        <f t="shared" si="5"/>
        <v>3</v>
      </c>
      <c r="B150" cm="1">
        <f t="array" ref="B150">INDEX('By Size'!$A$5:$A$10,MOD(ROW()-31,6)+1)</f>
        <v>400</v>
      </c>
      <c r="C150" cm="1">
        <f t="array" ref="C150">INDEX('By Target'!$A$5:$A$9,INT(MOD(ROW()-31,30)/6)+1)</f>
        <v>7200</v>
      </c>
      <c r="D150" s="10">
        <f>IF(COUNTIFS(benchmark_results[round],$A150,benchmark_results[algo],D$30,benchmark_results[n_tracks],$B150,benchmark_results[target_s],$C150,benchmark_results[timed_out],TRUE)=1,"TO",SUMIFS(benchmark_results[runtime_s],benchmark_results[round],$A150,benchmark_results[algo],D$30,benchmark_results[n_tracks],$B150,benchmark_results[target_s],$C150))</f>
        <v>5.1860000530723482E-4</v>
      </c>
      <c r="E150" s="10" t="str">
        <f>IF(COUNTIFS(benchmark_results[round],$A150,benchmark_results[algo],E$30,benchmark_results[n_tracks],$B150,benchmark_results[target_s],$C150,benchmark_results[timed_out],TRUE)=1,"TO",SUMIFS(benchmark_results[runtime_s],benchmark_results[round],$A150,benchmark_results[algo],E$30,benchmark_results[n_tracks],$B150,benchmark_results[target_s],$C150))</f>
        <v>TO</v>
      </c>
      <c r="F150" s="10">
        <f>IF(COUNTIFS(benchmark_results[round],$A150,benchmark_results[algo],F$30,benchmark_results[n_tracks],$B150,benchmark_results[target_s],$C150,benchmark_results[timed_out],TRUE)=1,"TO",SUMIFS(benchmark_results[runtime_s],benchmark_results[round],$A150,benchmark_results[algo],F$30,benchmark_results[n_tracks],$B150,benchmark_results[target_s],$C150))</f>
        <v>4.1035292000015033</v>
      </c>
      <c r="G150" s="10">
        <f>IF(COUNTIFS(benchmark_results[round],$A150,benchmark_results[algo],G$30,benchmark_results[n_tracks],$B150,benchmark_results[target_s],$C150,benchmark_results[timed_out],TRUE)=1,"TO",SUMIFS(benchmark_results[runtime_s],benchmark_results[round],$A150,benchmark_results[algo],G$30,benchmark_results[n_tracks],$B150,benchmark_results[target_s],$C150))</f>
        <v>1.0139569000020856</v>
      </c>
      <c r="H150" s="19">
        <f t="shared" si="6"/>
        <v>4.0470449976651501</v>
      </c>
      <c r="I150" t="str">
        <f t="shared" si="7"/>
        <v>v1</v>
      </c>
      <c r="J150">
        <f>SUMIFS(benchmark_results[gap_s],benchmark_results[round],$A150,benchmark_results[algo],$F$30,benchmark_results[n_tracks],$B150,benchmark_results[target_s],$C150)</f>
        <v>0</v>
      </c>
      <c r="K150">
        <f>SUMIFS(benchmark_results[gap_s],benchmark_results[round],$A150,benchmark_results[algo],$G$30,benchmark_results[n_tracks],$B150,benchmark_results[target_s],$C150)</f>
        <v>0</v>
      </c>
    </row>
    <row r="151" spans="1:11" x14ac:dyDescent="0.3">
      <c r="A151">
        <f t="shared" si="5"/>
        <v>4</v>
      </c>
      <c r="B151" cm="1">
        <f t="array" ref="B151">INDEX('By Size'!$A$5:$A$10,MOD(ROW()-31,6)+1)</f>
        <v>10</v>
      </c>
      <c r="C151" cm="1">
        <f t="array" ref="C151">INDEX('By Target'!$A$5:$A$9,INT(MOD(ROW()-31,30)/6)+1)</f>
        <v>300</v>
      </c>
      <c r="D151" s="10" t="str">
        <f>IF(COUNTIFS(benchmark_results[round],$A151,benchmark_results[algo],D$30,benchmark_results[n_tracks],$B151,benchmark_results[target_s],$C151,benchmark_results[timed_out],TRUE)=1,"TO",SUMIFS(benchmark_results[runtime_s],benchmark_results[round],$A151,benchmark_results[algo],D$30,benchmark_results[n_tracks],$B151,benchmark_results[target_s],$C151))</f>
        <v>TO</v>
      </c>
      <c r="E151" s="10">
        <f>IF(COUNTIFS(benchmark_results[round],$A151,benchmark_results[algo],E$30,benchmark_results[n_tracks],$B151,benchmark_results[target_s],$C151,benchmark_results[timed_out],TRUE)=1,"TO",SUMIFS(benchmark_results[runtime_s],benchmark_results[round],$A151,benchmark_results[algo],E$30,benchmark_results[n_tracks],$B151,benchmark_results[target_s],$C151))</f>
        <v>7.3500006692484021E-5</v>
      </c>
      <c r="F151" s="10">
        <f>IF(COUNTIFS(benchmark_results[round],$A151,benchmark_results[algo],F$30,benchmark_results[n_tracks],$B151,benchmark_results[target_s],$C151,benchmark_results[timed_out],TRUE)=1,"TO",SUMIFS(benchmark_results[runtime_s],benchmark_results[round],$A151,benchmark_results[algo],F$30,benchmark_results[n_tracks],$B151,benchmark_results[target_s],$C151))</f>
        <v>5.499999679159373E-5</v>
      </c>
      <c r="G151" s="10">
        <f>IF(COUNTIFS(benchmark_results[round],$A151,benchmark_results[algo],G$30,benchmark_results[n_tracks],$B151,benchmark_results[target_s],$C151,benchmark_results[timed_out],TRUE)=1,"TO",SUMIFS(benchmark_results[runtime_s],benchmark_results[round],$A151,benchmark_results[algo],G$30,benchmark_results[n_tracks],$B151,benchmark_results[target_s],$C151))</f>
        <v>6.3899991801008582E-5</v>
      </c>
      <c r="H151" s="19">
        <f t="shared" si="6"/>
        <v>0.86071993503331912</v>
      </c>
      <c r="I151" t="str">
        <f t="shared" si="7"/>
        <v>v3</v>
      </c>
      <c r="J151">
        <f>SUMIFS(benchmark_results[gap_s],benchmark_results[round],$A151,benchmark_results[algo],$F$30,benchmark_results[n_tracks],$B151,benchmark_results[target_s],$C151)</f>
        <v>0</v>
      </c>
      <c r="K151">
        <f>SUMIFS(benchmark_results[gap_s],benchmark_results[round],$A151,benchmark_results[algo],$G$30,benchmark_results[n_tracks],$B151,benchmark_results[target_s],$C151)</f>
        <v>0</v>
      </c>
    </row>
    <row r="152" spans="1:11" x14ac:dyDescent="0.3">
      <c r="A152">
        <f t="shared" si="5"/>
        <v>4</v>
      </c>
      <c r="B152" cm="1">
        <f t="array" ref="B152">INDEX('By Size'!$A$5:$A$10,MOD(ROW()-31,6)+1)</f>
        <v>30</v>
      </c>
      <c r="C152" cm="1">
        <f t="array" ref="C152">INDEX('By Target'!$A$5:$A$9,INT(MOD(ROW()-31,30)/6)+1)</f>
        <v>300</v>
      </c>
      <c r="D152" s="10" t="str">
        <f>IF(COUNTIFS(benchmark_results[round],$A152,benchmark_results[algo],D$30,benchmark_results[n_tracks],$B152,benchmark_results[target_s],$C152,benchmark_results[timed_out],TRUE)=1,"TO",SUMIFS(benchmark_results[runtime_s],benchmark_results[round],$A152,benchmark_results[algo],D$30,benchmark_results[n_tracks],$B152,benchmark_results[target_s],$C152))</f>
        <v>TO</v>
      </c>
      <c r="E152" s="10">
        <f>IF(COUNTIFS(benchmark_results[round],$A152,benchmark_results[algo],E$30,benchmark_results[n_tracks],$B152,benchmark_results[target_s],$C152,benchmark_results[timed_out],TRUE)=1,"TO",SUMIFS(benchmark_results[runtime_s],benchmark_results[round],$A152,benchmark_results[algo],E$30,benchmark_results[n_tracks],$B152,benchmark_results[target_s],$C152))</f>
        <v>1.8798999954015017E-3</v>
      </c>
      <c r="F152" s="10">
        <f>IF(COUNTIFS(benchmark_results[round],$A152,benchmark_results[algo],F$30,benchmark_results[n_tracks],$B152,benchmark_results[target_s],$C152,benchmark_results[timed_out],TRUE)=1,"TO",SUMIFS(benchmark_results[runtime_s],benchmark_results[round],$A152,benchmark_results[algo],F$30,benchmark_results[n_tracks],$B152,benchmark_results[target_s],$C152))</f>
        <v>2.0540000696200877E-4</v>
      </c>
      <c r="G152" s="10">
        <f>IF(COUNTIFS(benchmark_results[round],$A152,benchmark_results[algo],G$30,benchmark_results[n_tracks],$B152,benchmark_results[target_s],$C152,benchmark_results[timed_out],TRUE)=1,"TO",SUMIFS(benchmark_results[runtime_s],benchmark_results[round],$A152,benchmark_results[algo],G$30,benchmark_results[n_tracks],$B152,benchmark_results[target_s],$C152))</f>
        <v>1.8370000179857016E-4</v>
      </c>
      <c r="H152" s="19">
        <f t="shared" si="6"/>
        <v>1.1181274085518682</v>
      </c>
      <c r="I152" t="str">
        <f t="shared" si="7"/>
        <v>v4</v>
      </c>
      <c r="J152">
        <f>SUMIFS(benchmark_results[gap_s],benchmark_results[round],$A152,benchmark_results[algo],$F$30,benchmark_results[n_tracks],$B152,benchmark_results[target_s],$C152)</f>
        <v>0</v>
      </c>
      <c r="K152">
        <f>SUMIFS(benchmark_results[gap_s],benchmark_results[round],$A152,benchmark_results[algo],$G$30,benchmark_results[n_tracks],$B152,benchmark_results[target_s],$C152)</f>
        <v>0</v>
      </c>
    </row>
    <row r="153" spans="1:11" x14ac:dyDescent="0.3">
      <c r="A153">
        <f t="shared" si="5"/>
        <v>4</v>
      </c>
      <c r="B153" cm="1">
        <f t="array" ref="B153">INDEX('By Size'!$A$5:$A$10,MOD(ROW()-31,6)+1)</f>
        <v>50</v>
      </c>
      <c r="C153" cm="1">
        <f t="array" ref="C153">INDEX('By Target'!$A$5:$A$9,INT(MOD(ROW()-31,30)/6)+1)</f>
        <v>300</v>
      </c>
      <c r="D153" s="10" t="str">
        <f>IF(COUNTIFS(benchmark_results[round],$A153,benchmark_results[algo],D$30,benchmark_results[n_tracks],$B153,benchmark_results[target_s],$C153,benchmark_results[timed_out],TRUE)=1,"TO",SUMIFS(benchmark_results[runtime_s],benchmark_results[round],$A153,benchmark_results[algo],D$30,benchmark_results[n_tracks],$B153,benchmark_results[target_s],$C153))</f>
        <v>TO</v>
      </c>
      <c r="E153" s="10">
        <f>IF(COUNTIFS(benchmark_results[round],$A153,benchmark_results[algo],E$30,benchmark_results[n_tracks],$B153,benchmark_results[target_s],$C153,benchmark_results[timed_out],TRUE)=1,"TO",SUMIFS(benchmark_results[runtime_s],benchmark_results[round],$A153,benchmark_results[algo],E$30,benchmark_results[n_tracks],$B153,benchmark_results[target_s],$C153))</f>
        <v>7.4347999907331541E-3</v>
      </c>
      <c r="F153" s="10">
        <f>IF(COUNTIFS(benchmark_results[round],$A153,benchmark_results[algo],F$30,benchmark_results[n_tracks],$B153,benchmark_results[target_s],$C153,benchmark_results[timed_out],TRUE)=1,"TO",SUMIFS(benchmark_results[runtime_s],benchmark_results[round],$A153,benchmark_results[algo],F$30,benchmark_results[n_tracks],$B153,benchmark_results[target_s],$C153))</f>
        <v>4.6679998922627419E-4</v>
      </c>
      <c r="G153" s="10">
        <f>IF(COUNTIFS(benchmark_results[round],$A153,benchmark_results[algo],G$30,benchmark_results[n_tracks],$B153,benchmark_results[target_s],$C153,benchmark_results[timed_out],TRUE)=1,"TO",SUMIFS(benchmark_results[runtime_s],benchmark_results[round],$A153,benchmark_results[algo],G$30,benchmark_results[n_tracks],$B153,benchmark_results[target_s],$C153))</f>
        <v>4.8380000225733966E-4</v>
      </c>
      <c r="H153" s="19">
        <f t="shared" si="6"/>
        <v>0.96486148625104196</v>
      </c>
      <c r="I153" t="str">
        <f t="shared" si="7"/>
        <v>v3</v>
      </c>
      <c r="J153">
        <f>SUMIFS(benchmark_results[gap_s],benchmark_results[round],$A153,benchmark_results[algo],$F$30,benchmark_results[n_tracks],$B153,benchmark_results[target_s],$C153)</f>
        <v>0</v>
      </c>
      <c r="K153">
        <f>SUMIFS(benchmark_results[gap_s],benchmark_results[round],$A153,benchmark_results[algo],$G$30,benchmark_results[n_tracks],$B153,benchmark_results[target_s],$C153)</f>
        <v>0</v>
      </c>
    </row>
    <row r="154" spans="1:11" x14ac:dyDescent="0.3">
      <c r="A154">
        <f t="shared" si="5"/>
        <v>4</v>
      </c>
      <c r="B154" cm="1">
        <f t="array" ref="B154">INDEX('By Size'!$A$5:$A$10,MOD(ROW()-31,6)+1)</f>
        <v>100</v>
      </c>
      <c r="C154" cm="1">
        <f t="array" ref="C154">INDEX('By Target'!$A$5:$A$9,INT(MOD(ROW()-31,30)/6)+1)</f>
        <v>300</v>
      </c>
      <c r="D154" s="10" t="str">
        <f>IF(COUNTIFS(benchmark_results[round],$A154,benchmark_results[algo],D$30,benchmark_results[n_tracks],$B154,benchmark_results[target_s],$C154,benchmark_results[timed_out],TRUE)=1,"TO",SUMIFS(benchmark_results[runtime_s],benchmark_results[round],$A154,benchmark_results[algo],D$30,benchmark_results[n_tracks],$B154,benchmark_results[target_s],$C154))</f>
        <v>TO</v>
      </c>
      <c r="E154" s="10">
        <f>IF(COUNTIFS(benchmark_results[round],$A154,benchmark_results[algo],E$30,benchmark_results[n_tracks],$B154,benchmark_results[target_s],$C154,benchmark_results[timed_out],TRUE)=1,"TO",SUMIFS(benchmark_results[runtime_s],benchmark_results[round],$A154,benchmark_results[algo],E$30,benchmark_results[n_tracks],$B154,benchmark_results[target_s],$C154))</f>
        <v>0.4344965000054799</v>
      </c>
      <c r="F154" s="10">
        <f>IF(COUNTIFS(benchmark_results[round],$A154,benchmark_results[algo],F$30,benchmark_results[n_tracks],$B154,benchmark_results[target_s],$C154,benchmark_results[timed_out],TRUE)=1,"TO",SUMIFS(benchmark_results[runtime_s],benchmark_results[round],$A154,benchmark_results[algo],F$30,benchmark_results[n_tracks],$B154,benchmark_results[target_s],$C154))</f>
        <v>3.3068999910028651E-3</v>
      </c>
      <c r="G154" s="10">
        <f>IF(COUNTIFS(benchmark_results[round],$A154,benchmark_results[algo],G$30,benchmark_results[n_tracks],$B154,benchmark_results[target_s],$C154,benchmark_results[timed_out],TRUE)=1,"TO",SUMIFS(benchmark_results[runtime_s],benchmark_results[round],$A154,benchmark_results[algo],G$30,benchmark_results[n_tracks],$B154,benchmark_results[target_s],$C154))</f>
        <v>1.4698000013595447E-3</v>
      </c>
      <c r="H154" s="19">
        <f t="shared" si="6"/>
        <v>2.2498979370962227</v>
      </c>
      <c r="I154" t="str">
        <f t="shared" si="7"/>
        <v>v4</v>
      </c>
      <c r="J154">
        <f>SUMIFS(benchmark_results[gap_s],benchmark_results[round],$A154,benchmark_results[algo],$F$30,benchmark_results[n_tracks],$B154,benchmark_results[target_s],$C154)</f>
        <v>0</v>
      </c>
      <c r="K154">
        <f>SUMIFS(benchmark_results[gap_s],benchmark_results[round],$A154,benchmark_results[algo],$G$30,benchmark_results[n_tracks],$B154,benchmark_results[target_s],$C154)</f>
        <v>0</v>
      </c>
    </row>
    <row r="155" spans="1:11" x14ac:dyDescent="0.3">
      <c r="A155">
        <f t="shared" si="5"/>
        <v>4</v>
      </c>
      <c r="B155" cm="1">
        <f t="array" ref="B155">INDEX('By Size'!$A$5:$A$10,MOD(ROW()-31,6)+1)</f>
        <v>200</v>
      </c>
      <c r="C155" cm="1">
        <f t="array" ref="C155">INDEX('By Target'!$A$5:$A$9,INT(MOD(ROW()-31,30)/6)+1)</f>
        <v>300</v>
      </c>
      <c r="D155" s="10">
        <f>IF(COUNTIFS(benchmark_results[round],$A155,benchmark_results[algo],D$30,benchmark_results[n_tracks],$B155,benchmark_results[target_s],$C155,benchmark_results[timed_out],TRUE)=1,"TO",SUMIFS(benchmark_results[runtime_s],benchmark_results[round],$A155,benchmark_results[algo],D$30,benchmark_results[n_tracks],$B155,benchmark_results[target_s],$C155))</f>
        <v>5.8130000252276659E-4</v>
      </c>
      <c r="E155" s="10" t="str">
        <f>IF(COUNTIFS(benchmark_results[round],$A155,benchmark_results[algo],E$30,benchmark_results[n_tracks],$B155,benchmark_results[target_s],$C155,benchmark_results[timed_out],TRUE)=1,"TO",SUMIFS(benchmark_results[runtime_s],benchmark_results[round],$A155,benchmark_results[algo],E$30,benchmark_results[n_tracks],$B155,benchmark_results[target_s],$C155))</f>
        <v>TO</v>
      </c>
      <c r="F155" s="10">
        <f>IF(COUNTIFS(benchmark_results[round],$A155,benchmark_results[algo],F$30,benchmark_results[n_tracks],$B155,benchmark_results[target_s],$C155,benchmark_results[timed_out],TRUE)=1,"TO",SUMIFS(benchmark_results[runtime_s],benchmark_results[round],$A155,benchmark_results[algo],F$30,benchmark_results[n_tracks],$B155,benchmark_results[target_s],$C155))</f>
        <v>6.7669999989448115E-3</v>
      </c>
      <c r="G155" s="10">
        <f>IF(COUNTIFS(benchmark_results[round],$A155,benchmark_results[algo],G$30,benchmark_results[n_tracks],$B155,benchmark_results[target_s],$C155,benchmark_results[timed_out],TRUE)=1,"TO",SUMIFS(benchmark_results[runtime_s],benchmark_results[round],$A155,benchmark_results[algo],G$30,benchmark_results[n_tracks],$B155,benchmark_results[target_s],$C155))</f>
        <v>4.1999999957624823E-3</v>
      </c>
      <c r="H155" s="19">
        <f t="shared" si="6"/>
        <v>1.6111904775648238</v>
      </c>
      <c r="I155" t="str">
        <f t="shared" si="7"/>
        <v>v1</v>
      </c>
      <c r="J155">
        <f>SUMIFS(benchmark_results[gap_s],benchmark_results[round],$A155,benchmark_results[algo],$F$30,benchmark_results[n_tracks],$B155,benchmark_results[target_s],$C155)</f>
        <v>0</v>
      </c>
      <c r="K155">
        <f>SUMIFS(benchmark_results[gap_s],benchmark_results[round],$A155,benchmark_results[algo],$G$30,benchmark_results[n_tracks],$B155,benchmark_results[target_s],$C155)</f>
        <v>0</v>
      </c>
    </row>
    <row r="156" spans="1:11" x14ac:dyDescent="0.3">
      <c r="A156">
        <f t="shared" si="5"/>
        <v>4</v>
      </c>
      <c r="B156" cm="1">
        <f t="array" ref="B156">INDEX('By Size'!$A$5:$A$10,MOD(ROW()-31,6)+1)</f>
        <v>400</v>
      </c>
      <c r="C156" cm="1">
        <f t="array" ref="C156">INDEX('By Target'!$A$5:$A$9,INT(MOD(ROW()-31,30)/6)+1)</f>
        <v>300</v>
      </c>
      <c r="D156" s="10" t="str">
        <f>IF(COUNTIFS(benchmark_results[round],$A156,benchmark_results[algo],D$30,benchmark_results[n_tracks],$B156,benchmark_results[target_s],$C156,benchmark_results[timed_out],TRUE)=1,"TO",SUMIFS(benchmark_results[runtime_s],benchmark_results[round],$A156,benchmark_results[algo],D$30,benchmark_results[n_tracks],$B156,benchmark_results[target_s],$C156))</f>
        <v>TO</v>
      </c>
      <c r="E156" s="10" t="str">
        <f>IF(COUNTIFS(benchmark_results[round],$A156,benchmark_results[algo],E$30,benchmark_results[n_tracks],$B156,benchmark_results[target_s],$C156,benchmark_results[timed_out],TRUE)=1,"TO",SUMIFS(benchmark_results[runtime_s],benchmark_results[round],$A156,benchmark_results[algo],E$30,benchmark_results[n_tracks],$B156,benchmark_results[target_s],$C156))</f>
        <v>TO</v>
      </c>
      <c r="F156" s="10">
        <f>IF(COUNTIFS(benchmark_results[round],$A156,benchmark_results[algo],F$30,benchmark_results[n_tracks],$B156,benchmark_results[target_s],$C156,benchmark_results[timed_out],TRUE)=1,"TO",SUMIFS(benchmark_results[runtime_s],benchmark_results[round],$A156,benchmark_results[algo],F$30,benchmark_results[n_tracks],$B156,benchmark_results[target_s],$C156))</f>
        <v>1.5846499998588115E-2</v>
      </c>
      <c r="G156" s="10">
        <f>IF(COUNTIFS(benchmark_results[round],$A156,benchmark_results[algo],G$30,benchmark_results[n_tracks],$B156,benchmark_results[target_s],$C156,benchmark_results[timed_out],TRUE)=1,"TO",SUMIFS(benchmark_results[runtime_s],benchmark_results[round],$A156,benchmark_results[algo],G$30,benchmark_results[n_tracks],$B156,benchmark_results[target_s],$C156))</f>
        <v>1.0109499999089167E-2</v>
      </c>
      <c r="H156" s="19">
        <f t="shared" si="6"/>
        <v>1.5674860279950378</v>
      </c>
      <c r="I156" t="str">
        <f t="shared" si="7"/>
        <v>v4</v>
      </c>
      <c r="J156">
        <f>SUMIFS(benchmark_results[gap_s],benchmark_results[round],$A156,benchmark_results[algo],$F$30,benchmark_results[n_tracks],$B156,benchmark_results[target_s],$C156)</f>
        <v>0</v>
      </c>
      <c r="K156">
        <f>SUMIFS(benchmark_results[gap_s],benchmark_results[round],$A156,benchmark_results[algo],$G$30,benchmark_results[n_tracks],$B156,benchmark_results[target_s],$C156)</f>
        <v>0</v>
      </c>
    </row>
    <row r="157" spans="1:11" x14ac:dyDescent="0.3">
      <c r="A157">
        <f t="shared" si="5"/>
        <v>4</v>
      </c>
      <c r="B157" cm="1">
        <f t="array" ref="B157">INDEX('By Size'!$A$5:$A$10,MOD(ROW()-31,6)+1)</f>
        <v>10</v>
      </c>
      <c r="C157" cm="1">
        <f t="array" ref="C157">INDEX('By Target'!$A$5:$A$9,INT(MOD(ROW()-31,30)/6)+1)</f>
        <v>600</v>
      </c>
      <c r="D157" s="10" t="str">
        <f>IF(COUNTIFS(benchmark_results[round],$A157,benchmark_results[algo],D$30,benchmark_results[n_tracks],$B157,benchmark_results[target_s],$C157,benchmark_results[timed_out],TRUE)=1,"TO",SUMIFS(benchmark_results[runtime_s],benchmark_results[round],$A157,benchmark_results[algo],D$30,benchmark_results[n_tracks],$B157,benchmark_results[target_s],$C157))</f>
        <v>TO</v>
      </c>
      <c r="E157" s="10">
        <f>IF(COUNTIFS(benchmark_results[round],$A157,benchmark_results[algo],E$30,benchmark_results[n_tracks],$B157,benchmark_results[target_s],$C157,benchmark_results[timed_out],TRUE)=1,"TO",SUMIFS(benchmark_results[runtime_s],benchmark_results[round],$A157,benchmark_results[algo],E$30,benchmark_results[n_tracks],$B157,benchmark_results[target_s],$C157))</f>
        <v>1.7139999545179307E-4</v>
      </c>
      <c r="F157" s="10">
        <f>IF(COUNTIFS(benchmark_results[round],$A157,benchmark_results[algo],F$30,benchmark_results[n_tracks],$B157,benchmark_results[target_s],$C157,benchmark_results[timed_out],TRUE)=1,"TO",SUMIFS(benchmark_results[runtime_s],benchmark_results[round],$A157,benchmark_results[algo],F$30,benchmark_results[n_tracks],$B157,benchmark_results[target_s],$C157))</f>
        <v>7.9499994171783328E-5</v>
      </c>
      <c r="G157" s="10">
        <f>IF(COUNTIFS(benchmark_results[round],$A157,benchmark_results[algo],G$30,benchmark_results[n_tracks],$B157,benchmark_results[target_s],$C157,benchmark_results[timed_out],TRUE)=1,"TO",SUMIFS(benchmark_results[runtime_s],benchmark_results[round],$A157,benchmark_results[algo],G$30,benchmark_results[n_tracks],$B157,benchmark_results[target_s],$C157))</f>
        <v>7.1099988417699933E-5</v>
      </c>
      <c r="H157" s="19">
        <f t="shared" si="6"/>
        <v>1.1181435600908236</v>
      </c>
      <c r="I157" t="str">
        <f t="shared" si="7"/>
        <v>v4</v>
      </c>
      <c r="J157">
        <f>SUMIFS(benchmark_results[gap_s],benchmark_results[round],$A157,benchmark_results[algo],$F$30,benchmark_results[n_tracks],$B157,benchmark_results[target_s],$C157)</f>
        <v>1</v>
      </c>
      <c r="K157">
        <f>SUMIFS(benchmark_results[gap_s],benchmark_results[round],$A157,benchmark_results[algo],$G$30,benchmark_results[n_tracks],$B157,benchmark_results[target_s],$C157)</f>
        <v>1</v>
      </c>
    </row>
    <row r="158" spans="1:11" x14ac:dyDescent="0.3">
      <c r="A158">
        <f t="shared" si="5"/>
        <v>4</v>
      </c>
      <c r="B158" cm="1">
        <f t="array" ref="B158">INDEX('By Size'!$A$5:$A$10,MOD(ROW()-31,6)+1)</f>
        <v>30</v>
      </c>
      <c r="C158" cm="1">
        <f t="array" ref="C158">INDEX('By Target'!$A$5:$A$9,INT(MOD(ROW()-31,30)/6)+1)</f>
        <v>600</v>
      </c>
      <c r="D158" s="10" t="str">
        <f>IF(COUNTIFS(benchmark_results[round],$A158,benchmark_results[algo],D$30,benchmark_results[n_tracks],$B158,benchmark_results[target_s],$C158,benchmark_results[timed_out],TRUE)=1,"TO",SUMIFS(benchmark_results[runtime_s],benchmark_results[round],$A158,benchmark_results[algo],D$30,benchmark_results[n_tracks],$B158,benchmark_results[target_s],$C158))</f>
        <v>TO</v>
      </c>
      <c r="E158" s="10">
        <f>IF(COUNTIFS(benchmark_results[round],$A158,benchmark_results[algo],E$30,benchmark_results[n_tracks],$B158,benchmark_results[target_s],$C158,benchmark_results[timed_out],TRUE)=1,"TO",SUMIFS(benchmark_results[runtime_s],benchmark_results[round],$A158,benchmark_results[algo],E$30,benchmark_results[n_tracks],$B158,benchmark_results[target_s],$C158))</f>
        <v>5.1764400006504729E-2</v>
      </c>
      <c r="F158" s="10">
        <f>IF(COUNTIFS(benchmark_results[round],$A158,benchmark_results[algo],F$30,benchmark_results[n_tracks],$B158,benchmark_results[target_s],$C158,benchmark_results[timed_out],TRUE)=1,"TO",SUMIFS(benchmark_results[runtime_s],benchmark_results[round],$A158,benchmark_results[algo],F$30,benchmark_results[n_tracks],$B158,benchmark_results[target_s],$C158))</f>
        <v>2.0731000113300979E-3</v>
      </c>
      <c r="G158" s="10">
        <f>IF(COUNTIFS(benchmark_results[round],$A158,benchmark_results[algo],G$30,benchmark_results[n_tracks],$B158,benchmark_results[target_s],$C158,benchmark_results[timed_out],TRUE)=1,"TO",SUMIFS(benchmark_results[runtime_s],benchmark_results[round],$A158,benchmark_results[algo],G$30,benchmark_results[n_tracks],$B158,benchmark_results[target_s],$C158))</f>
        <v>1.3914000010117888E-3</v>
      </c>
      <c r="H158" s="19">
        <f t="shared" si="6"/>
        <v>1.4899381988088221</v>
      </c>
      <c r="I158" t="str">
        <f t="shared" si="7"/>
        <v>v4</v>
      </c>
      <c r="J158">
        <f>SUMIFS(benchmark_results[gap_s],benchmark_results[round],$A158,benchmark_results[algo],$F$30,benchmark_results[n_tracks],$B158,benchmark_results[target_s],$C158)</f>
        <v>0</v>
      </c>
      <c r="K158">
        <f>SUMIFS(benchmark_results[gap_s],benchmark_results[round],$A158,benchmark_results[algo],$G$30,benchmark_results[n_tracks],$B158,benchmark_results[target_s],$C158)</f>
        <v>0</v>
      </c>
    </row>
    <row r="159" spans="1:11" x14ac:dyDescent="0.3">
      <c r="A159">
        <f t="shared" si="5"/>
        <v>4</v>
      </c>
      <c r="B159" cm="1">
        <f t="array" ref="B159">INDEX('By Size'!$A$5:$A$10,MOD(ROW()-31,6)+1)</f>
        <v>50</v>
      </c>
      <c r="C159" cm="1">
        <f t="array" ref="C159">INDEX('By Target'!$A$5:$A$9,INT(MOD(ROW()-31,30)/6)+1)</f>
        <v>600</v>
      </c>
      <c r="D159" s="10">
        <f>IF(COUNTIFS(benchmark_results[round],$A159,benchmark_results[algo],D$30,benchmark_results[n_tracks],$B159,benchmark_results[target_s],$C159,benchmark_results[timed_out],TRUE)=1,"TO",SUMIFS(benchmark_results[runtime_s],benchmark_results[round],$A159,benchmark_results[algo],D$30,benchmark_results[n_tracks],$B159,benchmark_results[target_s],$C159))</f>
        <v>1.4076000079512596E-3</v>
      </c>
      <c r="E159" s="10">
        <f>IF(COUNTIFS(benchmark_results[round],$A159,benchmark_results[algo],E$30,benchmark_results[n_tracks],$B159,benchmark_results[target_s],$C159,benchmark_results[timed_out],TRUE)=1,"TO",SUMIFS(benchmark_results[runtime_s],benchmark_results[round],$A159,benchmark_results[algo],E$30,benchmark_results[n_tracks],$B159,benchmark_results[target_s],$C159))</f>
        <v>0.38771260000066832</v>
      </c>
      <c r="F159" s="10">
        <f>IF(COUNTIFS(benchmark_results[round],$A159,benchmark_results[algo],F$30,benchmark_results[n_tracks],$B159,benchmark_results[target_s],$C159,benchmark_results[timed_out],TRUE)=1,"TO",SUMIFS(benchmark_results[runtime_s],benchmark_results[round],$A159,benchmark_results[algo],F$30,benchmark_results[n_tracks],$B159,benchmark_results[target_s],$C159))</f>
        <v>4.9454999971203506E-3</v>
      </c>
      <c r="G159" s="10">
        <f>IF(COUNTIFS(benchmark_results[round],$A159,benchmark_results[algo],G$30,benchmark_results[n_tracks],$B159,benchmark_results[target_s],$C159,benchmark_results[timed_out],TRUE)=1,"TO",SUMIFS(benchmark_results[runtime_s],benchmark_results[round],$A159,benchmark_results[algo],G$30,benchmark_results[n_tracks],$B159,benchmark_results[target_s],$C159))</f>
        <v>2.1248999983072281E-3</v>
      </c>
      <c r="H159" s="19">
        <f t="shared" si="6"/>
        <v>2.327403643023255</v>
      </c>
      <c r="I159" t="str">
        <f t="shared" si="7"/>
        <v>v1</v>
      </c>
      <c r="J159">
        <f>SUMIFS(benchmark_results[gap_s],benchmark_results[round],$A159,benchmark_results[algo],$F$30,benchmark_results[n_tracks],$B159,benchmark_results[target_s],$C159)</f>
        <v>0</v>
      </c>
      <c r="K159">
        <f>SUMIFS(benchmark_results[gap_s],benchmark_results[round],$A159,benchmark_results[algo],$G$30,benchmark_results[n_tracks],$B159,benchmark_results[target_s],$C159)</f>
        <v>0</v>
      </c>
    </row>
    <row r="160" spans="1:11" x14ac:dyDescent="0.3">
      <c r="A160">
        <f t="shared" ref="A160:A180" si="8">INT((ROW()-31)/30)</f>
        <v>4</v>
      </c>
      <c r="B160" cm="1">
        <f t="array" ref="B160">INDEX('By Size'!$A$5:$A$10,MOD(ROW()-31,6)+1)</f>
        <v>100</v>
      </c>
      <c r="C160" cm="1">
        <f t="array" ref="C160">INDEX('By Target'!$A$5:$A$9,INT(MOD(ROW()-31,30)/6)+1)</f>
        <v>600</v>
      </c>
      <c r="D160" s="10">
        <f>IF(COUNTIFS(benchmark_results[round],$A160,benchmark_results[algo],D$30,benchmark_results[n_tracks],$B160,benchmark_results[target_s],$C160,benchmark_results[timed_out],TRUE)=1,"TO",SUMIFS(benchmark_results[runtime_s],benchmark_results[round],$A160,benchmark_results[algo],D$30,benchmark_results[n_tracks],$B160,benchmark_results[target_s],$C160))</f>
        <v>1.7441999953007326E-3</v>
      </c>
      <c r="E160" s="10" t="str">
        <f>IF(COUNTIFS(benchmark_results[round],$A160,benchmark_results[algo],E$30,benchmark_results[n_tracks],$B160,benchmark_results[target_s],$C160,benchmark_results[timed_out],TRUE)=1,"TO",SUMIFS(benchmark_results[runtime_s],benchmark_results[round],$A160,benchmark_results[algo],E$30,benchmark_results[n_tracks],$B160,benchmark_results[target_s],$C160))</f>
        <v>TO</v>
      </c>
      <c r="F160" s="10">
        <f>IF(COUNTIFS(benchmark_results[round],$A160,benchmark_results[algo],F$30,benchmark_results[n_tracks],$B160,benchmark_results[target_s],$C160,benchmark_results[timed_out],TRUE)=1,"TO",SUMIFS(benchmark_results[runtime_s],benchmark_results[round],$A160,benchmark_results[algo],F$30,benchmark_results[n_tracks],$B160,benchmark_results[target_s],$C160))</f>
        <v>1.2951099997735582E-2</v>
      </c>
      <c r="G160" s="10">
        <f>IF(COUNTIFS(benchmark_results[round],$A160,benchmark_results[algo],G$30,benchmark_results[n_tracks],$B160,benchmark_results[target_s],$C160,benchmark_results[timed_out],TRUE)=1,"TO",SUMIFS(benchmark_results[runtime_s],benchmark_results[round],$A160,benchmark_results[algo],G$30,benchmark_results[n_tracks],$B160,benchmark_results[target_s],$C160))</f>
        <v>5.1459000096656382E-3</v>
      </c>
      <c r="H160" s="19">
        <f t="shared" ref="H160:H180" si="9">IFERROR($F160/$G160,"n/a")</f>
        <v>2.5167803442370227</v>
      </c>
      <c r="I160" t="str">
        <f t="shared" ref="I160:I180" si="10">SUBSTITUTE(INDEX($D$30:$G$30,MATCH(MIN($D160:$G160),$D160:$G160,0)),"design_playlist_","")</f>
        <v>v1</v>
      </c>
      <c r="J160">
        <f>SUMIFS(benchmark_results[gap_s],benchmark_results[round],$A160,benchmark_results[algo],$F$30,benchmark_results[n_tracks],$B160,benchmark_results[target_s],$C160)</f>
        <v>0</v>
      </c>
      <c r="K160">
        <f>SUMIFS(benchmark_results[gap_s],benchmark_results[round],$A160,benchmark_results[algo],$G$30,benchmark_results[n_tracks],$B160,benchmark_results[target_s],$C160)</f>
        <v>0</v>
      </c>
    </row>
    <row r="161" spans="1:11" x14ac:dyDescent="0.3">
      <c r="A161">
        <f t="shared" si="8"/>
        <v>4</v>
      </c>
      <c r="B161" cm="1">
        <f t="array" ref="B161">INDEX('By Size'!$A$5:$A$10,MOD(ROW()-31,6)+1)</f>
        <v>200</v>
      </c>
      <c r="C161" cm="1">
        <f t="array" ref="C161">INDEX('By Target'!$A$5:$A$9,INT(MOD(ROW()-31,30)/6)+1)</f>
        <v>600</v>
      </c>
      <c r="D161" s="10">
        <f>IF(COUNTIFS(benchmark_results[round],$A161,benchmark_results[algo],D$30,benchmark_results[n_tracks],$B161,benchmark_results[target_s],$C161,benchmark_results[timed_out],TRUE)=1,"TO",SUMIFS(benchmark_results[runtime_s],benchmark_results[round],$A161,benchmark_results[algo],D$30,benchmark_results[n_tracks],$B161,benchmark_results[target_s],$C161))</f>
        <v>1.3998999929754063E-3</v>
      </c>
      <c r="E161" s="10" t="str">
        <f>IF(COUNTIFS(benchmark_results[round],$A161,benchmark_results[algo],E$30,benchmark_results[n_tracks],$B161,benchmark_results[target_s],$C161,benchmark_results[timed_out],TRUE)=1,"TO",SUMIFS(benchmark_results[runtime_s],benchmark_results[round],$A161,benchmark_results[algo],E$30,benchmark_results[n_tracks],$B161,benchmark_results[target_s],$C161))</f>
        <v>TO</v>
      </c>
      <c r="F161" s="10">
        <f>IF(COUNTIFS(benchmark_results[round],$A161,benchmark_results[algo],F$30,benchmark_results[n_tracks],$B161,benchmark_results[target_s],$C161,benchmark_results[timed_out],TRUE)=1,"TO",SUMIFS(benchmark_results[runtime_s],benchmark_results[round],$A161,benchmark_results[algo],F$30,benchmark_results[n_tracks],$B161,benchmark_results[target_s],$C161))</f>
        <v>5.3970499997376464E-2</v>
      </c>
      <c r="G161" s="10">
        <f>IF(COUNTIFS(benchmark_results[round],$A161,benchmark_results[algo],G$30,benchmark_results[n_tracks],$B161,benchmark_results[target_s],$C161,benchmark_results[timed_out],TRUE)=1,"TO",SUMIFS(benchmark_results[runtime_s],benchmark_results[round],$A161,benchmark_results[algo],G$30,benchmark_results[n_tracks],$B161,benchmark_results[target_s],$C161))</f>
        <v>1.5090500004589558E-2</v>
      </c>
      <c r="H161" s="19">
        <f t="shared" si="9"/>
        <v>3.576455384577192</v>
      </c>
      <c r="I161" t="str">
        <f t="shared" si="10"/>
        <v>v1</v>
      </c>
      <c r="J161">
        <f>SUMIFS(benchmark_results[gap_s],benchmark_results[round],$A161,benchmark_results[algo],$F$30,benchmark_results[n_tracks],$B161,benchmark_results[target_s],$C161)</f>
        <v>0</v>
      </c>
      <c r="K161">
        <f>SUMIFS(benchmark_results[gap_s],benchmark_results[round],$A161,benchmark_results[algo],$G$30,benchmark_results[n_tracks],$B161,benchmark_results[target_s],$C161)</f>
        <v>0</v>
      </c>
    </row>
    <row r="162" spans="1:11" x14ac:dyDescent="0.3">
      <c r="A162">
        <f t="shared" si="8"/>
        <v>4</v>
      </c>
      <c r="B162" cm="1">
        <f t="array" ref="B162">INDEX('By Size'!$A$5:$A$10,MOD(ROW()-31,6)+1)</f>
        <v>400</v>
      </c>
      <c r="C162" cm="1">
        <f t="array" ref="C162">INDEX('By Target'!$A$5:$A$9,INT(MOD(ROW()-31,30)/6)+1)</f>
        <v>600</v>
      </c>
      <c r="D162" s="10">
        <f>IF(COUNTIFS(benchmark_results[round],$A162,benchmark_results[algo],D$30,benchmark_results[n_tracks],$B162,benchmark_results[target_s],$C162,benchmark_results[timed_out],TRUE)=1,"TO",SUMIFS(benchmark_results[runtime_s],benchmark_results[round],$A162,benchmark_results[algo],D$30,benchmark_results[n_tracks],$B162,benchmark_results[target_s],$C162))</f>
        <v>1.1334200011333451E-2</v>
      </c>
      <c r="E162" s="10" t="str">
        <f>IF(COUNTIFS(benchmark_results[round],$A162,benchmark_results[algo],E$30,benchmark_results[n_tracks],$B162,benchmark_results[target_s],$C162,benchmark_results[timed_out],TRUE)=1,"TO",SUMIFS(benchmark_results[runtime_s],benchmark_results[round],$A162,benchmark_results[algo],E$30,benchmark_results[n_tracks],$B162,benchmark_results[target_s],$C162))</f>
        <v>TO</v>
      </c>
      <c r="F162" s="10">
        <f>IF(COUNTIFS(benchmark_results[round],$A162,benchmark_results[algo],F$30,benchmark_results[n_tracks],$B162,benchmark_results[target_s],$C162,benchmark_results[timed_out],TRUE)=1,"TO",SUMIFS(benchmark_results[runtime_s],benchmark_results[round],$A162,benchmark_results[algo],F$30,benchmark_results[n_tracks],$B162,benchmark_results[target_s],$C162))</f>
        <v>0.17662870000640396</v>
      </c>
      <c r="G162" s="10">
        <f>IF(COUNTIFS(benchmark_results[round],$A162,benchmark_results[algo],G$30,benchmark_results[n_tracks],$B162,benchmark_results[target_s],$C162,benchmark_results[timed_out],TRUE)=1,"TO",SUMIFS(benchmark_results[runtime_s],benchmark_results[round],$A162,benchmark_results[algo],G$30,benchmark_results[n_tracks],$B162,benchmark_results[target_s],$C162))</f>
        <v>7.9176600003847852E-2</v>
      </c>
      <c r="H162" s="19">
        <f t="shared" si="9"/>
        <v>2.2308194592571553</v>
      </c>
      <c r="I162" t="str">
        <f t="shared" si="10"/>
        <v>v1</v>
      </c>
      <c r="J162">
        <f>SUMIFS(benchmark_results[gap_s],benchmark_results[round],$A162,benchmark_results[algo],$F$30,benchmark_results[n_tracks],$B162,benchmark_results[target_s],$C162)</f>
        <v>0</v>
      </c>
      <c r="K162">
        <f>SUMIFS(benchmark_results[gap_s],benchmark_results[round],$A162,benchmark_results[algo],$G$30,benchmark_results[n_tracks],$B162,benchmark_results[target_s],$C162)</f>
        <v>0</v>
      </c>
    </row>
    <row r="163" spans="1:11" x14ac:dyDescent="0.3">
      <c r="A163">
        <f t="shared" si="8"/>
        <v>4</v>
      </c>
      <c r="B163" cm="1">
        <f t="array" ref="B163">INDEX('By Size'!$A$5:$A$10,MOD(ROW()-31,6)+1)</f>
        <v>10</v>
      </c>
      <c r="C163" cm="1">
        <f t="array" ref="C163">INDEX('By Target'!$A$5:$A$9,INT(MOD(ROW()-31,30)/6)+1)</f>
        <v>1200</v>
      </c>
      <c r="D163" s="10" t="str">
        <f>IF(COUNTIFS(benchmark_results[round],$A163,benchmark_results[algo],D$30,benchmark_results[n_tracks],$B163,benchmark_results[target_s],$C163,benchmark_results[timed_out],TRUE)=1,"TO",SUMIFS(benchmark_results[runtime_s],benchmark_results[round],$A163,benchmark_results[algo],D$30,benchmark_results[n_tracks],$B163,benchmark_results[target_s],$C163))</f>
        <v>TO</v>
      </c>
      <c r="E163" s="10">
        <f>IF(COUNTIFS(benchmark_results[round],$A163,benchmark_results[algo],E$30,benchmark_results[n_tracks],$B163,benchmark_results[target_s],$C163,benchmark_results[timed_out],TRUE)=1,"TO",SUMIFS(benchmark_results[runtime_s],benchmark_results[round],$A163,benchmark_results[algo],E$30,benchmark_results[n_tracks],$B163,benchmark_results[target_s],$C163))</f>
        <v>3.7169999268371612E-4</v>
      </c>
      <c r="F163" s="10">
        <f>IF(COUNTIFS(benchmark_results[round],$A163,benchmark_results[algo],F$30,benchmark_results[n_tracks],$B163,benchmark_results[target_s],$C163,benchmark_results[timed_out],TRUE)=1,"TO",SUMIFS(benchmark_results[runtime_s],benchmark_results[round],$A163,benchmark_results[algo],F$30,benchmark_results[n_tracks],$B163,benchmark_results[target_s],$C163))</f>
        <v>3.5170000046491623E-4</v>
      </c>
      <c r="G163" s="10">
        <f>IF(COUNTIFS(benchmark_results[round],$A163,benchmark_results[algo],G$30,benchmark_results[n_tracks],$B163,benchmark_results[target_s],$C163,benchmark_results[timed_out],TRUE)=1,"TO",SUMIFS(benchmark_results[runtime_s],benchmark_results[round],$A163,benchmark_results[algo],G$30,benchmark_results[n_tracks],$B163,benchmark_results[target_s],$C163))</f>
        <v>2.7389999013394117E-4</v>
      </c>
      <c r="H163" s="19">
        <f t="shared" si="9"/>
        <v>1.2840453199466335</v>
      </c>
      <c r="I163" t="str">
        <f t="shared" si="10"/>
        <v>v4</v>
      </c>
      <c r="J163">
        <f>SUMIFS(benchmark_results[gap_s],benchmark_results[round],$A163,benchmark_results[algo],$F$30,benchmark_results[n_tracks],$B163,benchmark_results[target_s],$C163)</f>
        <v>1</v>
      </c>
      <c r="K163">
        <f>SUMIFS(benchmark_results[gap_s],benchmark_results[round],$A163,benchmark_results[algo],$G$30,benchmark_results[n_tracks],$B163,benchmark_results[target_s],$C163)</f>
        <v>1</v>
      </c>
    </row>
    <row r="164" spans="1:11" x14ac:dyDescent="0.3">
      <c r="A164">
        <f t="shared" si="8"/>
        <v>4</v>
      </c>
      <c r="B164" cm="1">
        <f t="array" ref="B164">INDEX('By Size'!$A$5:$A$10,MOD(ROW()-31,6)+1)</f>
        <v>30</v>
      </c>
      <c r="C164" cm="1">
        <f t="array" ref="C164">INDEX('By Target'!$A$5:$A$9,INT(MOD(ROW()-31,30)/6)+1)</f>
        <v>1200</v>
      </c>
      <c r="D164" s="10">
        <f>IF(COUNTIFS(benchmark_results[round],$A164,benchmark_results[algo],D$30,benchmark_results[n_tracks],$B164,benchmark_results[target_s],$C164,benchmark_results[timed_out],TRUE)=1,"TO",SUMIFS(benchmark_results[runtime_s],benchmark_results[round],$A164,benchmark_results[algo],D$30,benchmark_results[n_tracks],$B164,benchmark_results[target_s],$C164))</f>
        <v>1.429600000847131E-3</v>
      </c>
      <c r="E164" s="10">
        <f>IF(COUNTIFS(benchmark_results[round],$A164,benchmark_results[algo],E$30,benchmark_results[n_tracks],$B164,benchmark_results[target_s],$C164,benchmark_results[timed_out],TRUE)=1,"TO",SUMIFS(benchmark_results[runtime_s],benchmark_results[round],$A164,benchmark_results[algo],E$30,benchmark_results[n_tracks],$B164,benchmark_results[target_s],$C164))</f>
        <v>0.8663203999894904</v>
      </c>
      <c r="F164" s="10">
        <f>IF(COUNTIFS(benchmark_results[round],$A164,benchmark_results[algo],F$30,benchmark_results[n_tracks],$B164,benchmark_results[target_s],$C164,benchmark_results[timed_out],TRUE)=1,"TO",SUMIFS(benchmark_results[runtime_s],benchmark_results[round],$A164,benchmark_results[algo],F$30,benchmark_results[n_tracks],$B164,benchmark_results[target_s],$C164))</f>
        <v>5.7456000067759305E-3</v>
      </c>
      <c r="G164" s="10">
        <f>IF(COUNTIFS(benchmark_results[round],$A164,benchmark_results[algo],G$30,benchmark_results[n_tracks],$B164,benchmark_results[target_s],$C164,benchmark_results[timed_out],TRUE)=1,"TO",SUMIFS(benchmark_results[runtime_s],benchmark_results[round],$A164,benchmark_results[algo],G$30,benchmark_results[n_tracks],$B164,benchmark_results[target_s],$C164))</f>
        <v>2.4104000040097162E-3</v>
      </c>
      <c r="H164" s="19">
        <f t="shared" si="9"/>
        <v>2.3836707588856982</v>
      </c>
      <c r="I164" t="str">
        <f t="shared" si="10"/>
        <v>v1</v>
      </c>
      <c r="J164">
        <f>SUMIFS(benchmark_results[gap_s],benchmark_results[round],$A164,benchmark_results[algo],$F$30,benchmark_results[n_tracks],$B164,benchmark_results[target_s],$C164)</f>
        <v>0</v>
      </c>
      <c r="K164">
        <f>SUMIFS(benchmark_results[gap_s],benchmark_results[round],$A164,benchmark_results[algo],$G$30,benchmark_results[n_tracks],$B164,benchmark_results[target_s],$C164)</f>
        <v>0</v>
      </c>
    </row>
    <row r="165" spans="1:11" x14ac:dyDescent="0.3">
      <c r="A165">
        <f t="shared" si="8"/>
        <v>4</v>
      </c>
      <c r="B165" cm="1">
        <f t="array" ref="B165">INDEX('By Size'!$A$5:$A$10,MOD(ROW()-31,6)+1)</f>
        <v>50</v>
      </c>
      <c r="C165" cm="1">
        <f t="array" ref="C165">INDEX('By Target'!$A$5:$A$9,INT(MOD(ROW()-31,30)/6)+1)</f>
        <v>1200</v>
      </c>
      <c r="D165" s="10">
        <f>IF(COUNTIFS(benchmark_results[round],$A165,benchmark_results[algo],D$30,benchmark_results[n_tracks],$B165,benchmark_results[target_s],$C165,benchmark_results[timed_out],TRUE)=1,"TO",SUMIFS(benchmark_results[runtime_s],benchmark_results[round],$A165,benchmark_results[algo],D$30,benchmark_results[n_tracks],$B165,benchmark_results[target_s],$C165))</f>
        <v>2.5009999808389693E-4</v>
      </c>
      <c r="E165" s="10" t="str">
        <f>IF(COUNTIFS(benchmark_results[round],$A165,benchmark_results[algo],E$30,benchmark_results[n_tracks],$B165,benchmark_results[target_s],$C165,benchmark_results[timed_out],TRUE)=1,"TO",SUMIFS(benchmark_results[runtime_s],benchmark_results[round],$A165,benchmark_results[algo],E$30,benchmark_results[n_tracks],$B165,benchmark_results[target_s],$C165))</f>
        <v>TO</v>
      </c>
      <c r="F165" s="10">
        <f>IF(COUNTIFS(benchmark_results[round],$A165,benchmark_results[algo],F$30,benchmark_results[n_tracks],$B165,benchmark_results[target_s],$C165,benchmark_results[timed_out],TRUE)=1,"TO",SUMIFS(benchmark_results[runtime_s],benchmark_results[round],$A165,benchmark_results[algo],F$30,benchmark_results[n_tracks],$B165,benchmark_results[target_s],$C165))</f>
        <v>1.2894999992568046E-2</v>
      </c>
      <c r="G165" s="10">
        <f>IF(COUNTIFS(benchmark_results[round],$A165,benchmark_results[algo],G$30,benchmark_results[n_tracks],$B165,benchmark_results[target_s],$C165,benchmark_results[timed_out],TRUE)=1,"TO",SUMIFS(benchmark_results[runtime_s],benchmark_results[round],$A165,benchmark_results[algo],G$30,benchmark_results[n_tracks],$B165,benchmark_results[target_s],$C165))</f>
        <v>5.02710000728257E-3</v>
      </c>
      <c r="H165" s="19">
        <f t="shared" si="9"/>
        <v>2.5650971681262651</v>
      </c>
      <c r="I165" t="str">
        <f t="shared" si="10"/>
        <v>v1</v>
      </c>
      <c r="J165">
        <f>SUMIFS(benchmark_results[gap_s],benchmark_results[round],$A165,benchmark_results[algo],$F$30,benchmark_results[n_tracks],$B165,benchmark_results[target_s],$C165)</f>
        <v>0</v>
      </c>
      <c r="K165">
        <f>SUMIFS(benchmark_results[gap_s],benchmark_results[round],$A165,benchmark_results[algo],$G$30,benchmark_results[n_tracks],$B165,benchmark_results[target_s],$C165)</f>
        <v>0</v>
      </c>
    </row>
    <row r="166" spans="1:11" x14ac:dyDescent="0.3">
      <c r="A166">
        <f t="shared" si="8"/>
        <v>4</v>
      </c>
      <c r="B166" cm="1">
        <f t="array" ref="B166">INDEX('By Size'!$A$5:$A$10,MOD(ROW()-31,6)+1)</f>
        <v>100</v>
      </c>
      <c r="C166" cm="1">
        <f t="array" ref="C166">INDEX('By Target'!$A$5:$A$9,INT(MOD(ROW()-31,30)/6)+1)</f>
        <v>1200</v>
      </c>
      <c r="D166" s="10">
        <f>IF(COUNTIFS(benchmark_results[round],$A166,benchmark_results[algo],D$30,benchmark_results[n_tracks],$B166,benchmark_results[target_s],$C166,benchmark_results[timed_out],TRUE)=1,"TO",SUMIFS(benchmark_results[runtime_s],benchmark_results[round],$A166,benchmark_results[algo],D$30,benchmark_results[n_tracks],$B166,benchmark_results[target_s],$C166))</f>
        <v>1.6090000281110406E-4</v>
      </c>
      <c r="E166" s="10" t="str">
        <f>IF(COUNTIFS(benchmark_results[round],$A166,benchmark_results[algo],E$30,benchmark_results[n_tracks],$B166,benchmark_results[target_s],$C166,benchmark_results[timed_out],TRUE)=1,"TO",SUMIFS(benchmark_results[runtime_s],benchmark_results[round],$A166,benchmark_results[algo],E$30,benchmark_results[n_tracks],$B166,benchmark_results[target_s],$C166))</f>
        <v>TO</v>
      </c>
      <c r="F166" s="10">
        <f>IF(COUNTIFS(benchmark_results[round],$A166,benchmark_results[algo],F$30,benchmark_results[n_tracks],$B166,benchmark_results[target_s],$C166,benchmark_results[timed_out],TRUE)=1,"TO",SUMIFS(benchmark_results[runtime_s],benchmark_results[round],$A166,benchmark_results[algo],F$30,benchmark_results[n_tracks],$B166,benchmark_results[target_s],$C166))</f>
        <v>4.9584299995331094E-2</v>
      </c>
      <c r="G166" s="10">
        <f>IF(COUNTIFS(benchmark_results[round],$A166,benchmark_results[algo],G$30,benchmark_results[n_tracks],$B166,benchmark_results[target_s],$C166,benchmark_results[timed_out],TRUE)=1,"TO",SUMIFS(benchmark_results[runtime_s],benchmark_results[round],$A166,benchmark_results[algo],G$30,benchmark_results[n_tracks],$B166,benchmark_results[target_s],$C166))</f>
        <v>1.634659999399446E-2</v>
      </c>
      <c r="H166" s="19">
        <f t="shared" si="9"/>
        <v>3.0333096799057762</v>
      </c>
      <c r="I166" t="str">
        <f t="shared" si="10"/>
        <v>v1</v>
      </c>
      <c r="J166">
        <f>SUMIFS(benchmark_results[gap_s],benchmark_results[round],$A166,benchmark_results[algo],$F$30,benchmark_results[n_tracks],$B166,benchmark_results[target_s],$C166)</f>
        <v>0</v>
      </c>
      <c r="K166">
        <f>SUMIFS(benchmark_results[gap_s],benchmark_results[round],$A166,benchmark_results[algo],$G$30,benchmark_results[n_tracks],$B166,benchmark_results[target_s],$C166)</f>
        <v>0</v>
      </c>
    </row>
    <row r="167" spans="1:11" x14ac:dyDescent="0.3">
      <c r="A167">
        <f t="shared" si="8"/>
        <v>4</v>
      </c>
      <c r="B167" cm="1">
        <f t="array" ref="B167">INDEX('By Size'!$A$5:$A$10,MOD(ROW()-31,6)+1)</f>
        <v>200</v>
      </c>
      <c r="C167" cm="1">
        <f t="array" ref="C167">INDEX('By Target'!$A$5:$A$9,INT(MOD(ROW()-31,30)/6)+1)</f>
        <v>1200</v>
      </c>
      <c r="D167" s="10">
        <f>IF(COUNTIFS(benchmark_results[round],$A167,benchmark_results[algo],D$30,benchmark_results[n_tracks],$B167,benchmark_results[target_s],$C167,benchmark_results[timed_out],TRUE)=1,"TO",SUMIFS(benchmark_results[runtime_s],benchmark_results[round],$A167,benchmark_results[algo],D$30,benchmark_results[n_tracks],$B167,benchmark_results[target_s],$C167))</f>
        <v>1.3669999316334724E-4</v>
      </c>
      <c r="E167" s="10" t="str">
        <f>IF(COUNTIFS(benchmark_results[round],$A167,benchmark_results[algo],E$30,benchmark_results[n_tracks],$B167,benchmark_results[target_s],$C167,benchmark_results[timed_out],TRUE)=1,"TO",SUMIFS(benchmark_results[runtime_s],benchmark_results[round],$A167,benchmark_results[algo],E$30,benchmark_results[n_tracks],$B167,benchmark_results[target_s],$C167))</f>
        <v>TO</v>
      </c>
      <c r="F167" s="10">
        <f>IF(COUNTIFS(benchmark_results[round],$A167,benchmark_results[algo],F$30,benchmark_results[n_tracks],$B167,benchmark_results[target_s],$C167,benchmark_results[timed_out],TRUE)=1,"TO",SUMIFS(benchmark_results[runtime_s],benchmark_results[round],$A167,benchmark_results[algo],F$30,benchmark_results[n_tracks],$B167,benchmark_results[target_s],$C167))</f>
        <v>8.1556000004638918E-2</v>
      </c>
      <c r="G167" s="10">
        <f>IF(COUNTIFS(benchmark_results[round],$A167,benchmark_results[algo],G$30,benchmark_results[n_tracks],$B167,benchmark_results[target_s],$C167,benchmark_results[timed_out],TRUE)=1,"TO",SUMIFS(benchmark_results[runtime_s],benchmark_results[round],$A167,benchmark_results[algo],G$30,benchmark_results[n_tracks],$B167,benchmark_results[target_s],$C167))</f>
        <v>2.4666099998285063E-2</v>
      </c>
      <c r="H167" s="19">
        <f t="shared" si="9"/>
        <v>3.3064002825865941</v>
      </c>
      <c r="I167" t="str">
        <f t="shared" si="10"/>
        <v>v1</v>
      </c>
      <c r="J167">
        <f>SUMIFS(benchmark_results[gap_s],benchmark_results[round],$A167,benchmark_results[algo],$F$30,benchmark_results[n_tracks],$B167,benchmark_results[target_s],$C167)</f>
        <v>0</v>
      </c>
      <c r="K167">
        <f>SUMIFS(benchmark_results[gap_s],benchmark_results[round],$A167,benchmark_results[algo],$G$30,benchmark_results[n_tracks],$B167,benchmark_results[target_s],$C167)</f>
        <v>0</v>
      </c>
    </row>
    <row r="168" spans="1:11" x14ac:dyDescent="0.3">
      <c r="A168">
        <f t="shared" si="8"/>
        <v>4</v>
      </c>
      <c r="B168" cm="1">
        <f t="array" ref="B168">INDEX('By Size'!$A$5:$A$10,MOD(ROW()-31,6)+1)</f>
        <v>400</v>
      </c>
      <c r="C168" cm="1">
        <f t="array" ref="C168">INDEX('By Target'!$A$5:$A$9,INT(MOD(ROW()-31,30)/6)+1)</f>
        <v>1200</v>
      </c>
      <c r="D168" s="10">
        <f>IF(COUNTIFS(benchmark_results[round],$A168,benchmark_results[algo],D$30,benchmark_results[n_tracks],$B168,benchmark_results[target_s],$C168,benchmark_results[timed_out],TRUE)=1,"TO",SUMIFS(benchmark_results[runtime_s],benchmark_results[round],$A168,benchmark_results[algo],D$30,benchmark_results[n_tracks],$B168,benchmark_results[target_s],$C168))</f>
        <v>8.051999902818352E-4</v>
      </c>
      <c r="E168" s="10" t="str">
        <f>IF(COUNTIFS(benchmark_results[round],$A168,benchmark_results[algo],E$30,benchmark_results[n_tracks],$B168,benchmark_results[target_s],$C168,benchmark_results[timed_out],TRUE)=1,"TO",SUMIFS(benchmark_results[runtime_s],benchmark_results[round],$A168,benchmark_results[algo],E$30,benchmark_results[n_tracks],$B168,benchmark_results[target_s],$C168))</f>
        <v>TO</v>
      </c>
      <c r="F168" s="10">
        <f>IF(COUNTIFS(benchmark_results[round],$A168,benchmark_results[algo],F$30,benchmark_results[n_tracks],$B168,benchmark_results[target_s],$C168,benchmark_results[timed_out],TRUE)=1,"TO",SUMIFS(benchmark_results[runtime_s],benchmark_results[round],$A168,benchmark_results[algo],F$30,benchmark_results[n_tracks],$B168,benchmark_results[target_s],$C168))</f>
        <v>0.17941799999971408</v>
      </c>
      <c r="G168" s="10">
        <f>IF(COUNTIFS(benchmark_results[round],$A168,benchmark_results[algo],G$30,benchmark_results[n_tracks],$B168,benchmark_results[target_s],$C168,benchmark_results[timed_out],TRUE)=1,"TO",SUMIFS(benchmark_results[runtime_s],benchmark_results[round],$A168,benchmark_results[algo],G$30,benchmark_results[n_tracks],$B168,benchmark_results[target_s],$C168))</f>
        <v>7.1116699997219257E-2</v>
      </c>
      <c r="H168" s="19">
        <f t="shared" si="9"/>
        <v>2.5228673434893567</v>
      </c>
      <c r="I168" t="str">
        <f t="shared" si="10"/>
        <v>v1</v>
      </c>
      <c r="J168">
        <f>SUMIFS(benchmark_results[gap_s],benchmark_results[round],$A168,benchmark_results[algo],$F$30,benchmark_results[n_tracks],$B168,benchmark_results[target_s],$C168)</f>
        <v>0</v>
      </c>
      <c r="K168">
        <f>SUMIFS(benchmark_results[gap_s],benchmark_results[round],$A168,benchmark_results[algo],$G$30,benchmark_results[n_tracks],$B168,benchmark_results[target_s],$C168)</f>
        <v>0</v>
      </c>
    </row>
    <row r="169" spans="1:11" x14ac:dyDescent="0.3">
      <c r="A169">
        <f t="shared" si="8"/>
        <v>4</v>
      </c>
      <c r="B169" cm="1">
        <f t="array" ref="B169">INDEX('By Size'!$A$5:$A$10,MOD(ROW()-31,6)+1)</f>
        <v>10</v>
      </c>
      <c r="C169" cm="1">
        <f t="array" ref="C169">INDEX('By Target'!$A$5:$A$9,INT(MOD(ROW()-31,30)/6)+1)</f>
        <v>3600</v>
      </c>
      <c r="D169" s="10">
        <f>IF(COUNTIFS(benchmark_results[round],$A169,benchmark_results[algo],D$30,benchmark_results[n_tracks],$B169,benchmark_results[target_s],$C169,benchmark_results[timed_out],TRUE)=1,"TO",SUMIFS(benchmark_results[runtime_s],benchmark_results[round],$A169,benchmark_results[algo],D$30,benchmark_results[n_tracks],$B169,benchmark_results[target_s],$C169))</f>
        <v>3.9399994420818985E-5</v>
      </c>
      <c r="E169" s="10">
        <f>IF(COUNTIFS(benchmark_results[round],$A169,benchmark_results[algo],E$30,benchmark_results[n_tracks],$B169,benchmark_results[target_s],$C169,benchmark_results[timed_out],TRUE)=1,"TO",SUMIFS(benchmark_results[runtime_s],benchmark_results[round],$A169,benchmark_results[algo],E$30,benchmark_results[n_tracks],$B169,benchmark_results[target_s],$C169))</f>
        <v>5.2770000183954835E-4</v>
      </c>
      <c r="F169" s="10">
        <f>IF(COUNTIFS(benchmark_results[round],$A169,benchmark_results[algo],F$30,benchmark_results[n_tracks],$B169,benchmark_results[target_s],$C169,benchmark_results[timed_out],TRUE)=1,"TO",SUMIFS(benchmark_results[runtime_s],benchmark_results[round],$A169,benchmark_results[algo],F$30,benchmark_results[n_tracks],$B169,benchmark_results[target_s],$C169))</f>
        <v>6.4460000430699438E-4</v>
      </c>
      <c r="G169" s="10">
        <f>IF(COUNTIFS(benchmark_results[round],$A169,benchmark_results[algo],G$30,benchmark_results[n_tracks],$B169,benchmark_results[target_s],$C169,benchmark_results[timed_out],TRUE)=1,"TO",SUMIFS(benchmark_results[runtime_s],benchmark_results[round],$A169,benchmark_results[algo],G$30,benchmark_results[n_tracks],$B169,benchmark_results[target_s],$C169))</f>
        <v>4.3539999751374125E-4</v>
      </c>
      <c r="H169" s="19">
        <f t="shared" si="9"/>
        <v>1.4804777399812703</v>
      </c>
      <c r="I169" t="str">
        <f t="shared" si="10"/>
        <v>v1</v>
      </c>
      <c r="J169">
        <f>SUMIFS(benchmark_results[gap_s],benchmark_results[round],$A169,benchmark_results[algo],$F$30,benchmark_results[n_tracks],$B169,benchmark_results[target_s],$C169)</f>
        <v>183</v>
      </c>
      <c r="K169">
        <f>SUMIFS(benchmark_results[gap_s],benchmark_results[round],$A169,benchmark_results[algo],$G$30,benchmark_results[n_tracks],$B169,benchmark_results[target_s],$C169)</f>
        <v>183</v>
      </c>
    </row>
    <row r="170" spans="1:11" x14ac:dyDescent="0.3">
      <c r="A170">
        <f t="shared" si="8"/>
        <v>4</v>
      </c>
      <c r="B170" cm="1">
        <f t="array" ref="B170">INDEX('By Size'!$A$5:$A$10,MOD(ROW()-31,6)+1)</f>
        <v>30</v>
      </c>
      <c r="C170" cm="1">
        <f t="array" ref="C170">INDEX('By Target'!$A$5:$A$9,INT(MOD(ROW()-31,30)/6)+1)</f>
        <v>3600</v>
      </c>
      <c r="D170" s="10">
        <f>IF(COUNTIFS(benchmark_results[round],$A170,benchmark_results[algo],D$30,benchmark_results[n_tracks],$B170,benchmark_results[target_s],$C170,benchmark_results[timed_out],TRUE)=1,"TO",SUMIFS(benchmark_results[runtime_s],benchmark_results[round],$A170,benchmark_results[algo],D$30,benchmark_results[n_tracks],$B170,benchmark_results[target_s],$C170))</f>
        <v>1.4229999214876443E-4</v>
      </c>
      <c r="E170" s="10" t="str">
        <f>IF(COUNTIFS(benchmark_results[round],$A170,benchmark_results[algo],E$30,benchmark_results[n_tracks],$B170,benchmark_results[target_s],$C170,benchmark_results[timed_out],TRUE)=1,"TO",SUMIFS(benchmark_results[runtime_s],benchmark_results[round],$A170,benchmark_results[algo],E$30,benchmark_results[n_tracks],$B170,benchmark_results[target_s],$C170))</f>
        <v>TO</v>
      </c>
      <c r="F170" s="10">
        <f>IF(COUNTIFS(benchmark_results[round],$A170,benchmark_results[algo],F$30,benchmark_results[n_tracks],$B170,benchmark_results[target_s],$C170,benchmark_results[timed_out],TRUE)=1,"TO",SUMIFS(benchmark_results[runtime_s],benchmark_results[round],$A170,benchmark_results[algo],F$30,benchmark_results[n_tracks],$B170,benchmark_results[target_s],$C170))</f>
        <v>2.9901900008553639E-2</v>
      </c>
      <c r="G170" s="10">
        <f>IF(COUNTIFS(benchmark_results[round],$A170,benchmark_results[algo],G$30,benchmark_results[n_tracks],$B170,benchmark_results[target_s],$C170,benchmark_results[timed_out],TRUE)=1,"TO",SUMIFS(benchmark_results[runtime_s],benchmark_results[round],$A170,benchmark_results[algo],G$30,benchmark_results[n_tracks],$B170,benchmark_results[target_s],$C170))</f>
        <v>1.0711700000683777E-2</v>
      </c>
      <c r="H170" s="19">
        <f t="shared" si="9"/>
        <v>2.7915176868886231</v>
      </c>
      <c r="I170" t="str">
        <f t="shared" si="10"/>
        <v>v1</v>
      </c>
      <c r="J170">
        <f>SUMIFS(benchmark_results[gap_s],benchmark_results[round],$A170,benchmark_results[algo],$F$30,benchmark_results[n_tracks],$B170,benchmark_results[target_s],$C170)</f>
        <v>0</v>
      </c>
      <c r="K170">
        <f>SUMIFS(benchmark_results[gap_s],benchmark_results[round],$A170,benchmark_results[algo],$G$30,benchmark_results[n_tracks],$B170,benchmark_results[target_s],$C170)</f>
        <v>0</v>
      </c>
    </row>
    <row r="171" spans="1:11" x14ac:dyDescent="0.3">
      <c r="A171">
        <f t="shared" si="8"/>
        <v>4</v>
      </c>
      <c r="B171" cm="1">
        <f t="array" ref="B171">INDEX('By Size'!$A$5:$A$10,MOD(ROW()-31,6)+1)</f>
        <v>50</v>
      </c>
      <c r="C171" cm="1">
        <f t="array" ref="C171">INDEX('By Target'!$A$5:$A$9,INT(MOD(ROW()-31,30)/6)+1)</f>
        <v>3600</v>
      </c>
      <c r="D171" s="10">
        <f>IF(COUNTIFS(benchmark_results[round],$A171,benchmark_results[algo],D$30,benchmark_results[n_tracks],$B171,benchmark_results[target_s],$C171,benchmark_results[timed_out],TRUE)=1,"TO",SUMIFS(benchmark_results[runtime_s],benchmark_results[round],$A171,benchmark_results[algo],D$30,benchmark_results[n_tracks],$B171,benchmark_results[target_s],$C171))</f>
        <v>7.9100005677901208E-5</v>
      </c>
      <c r="E171" s="10" t="str">
        <f>IF(COUNTIFS(benchmark_results[round],$A171,benchmark_results[algo],E$30,benchmark_results[n_tracks],$B171,benchmark_results[target_s],$C171,benchmark_results[timed_out],TRUE)=1,"TO",SUMIFS(benchmark_results[runtime_s],benchmark_results[round],$A171,benchmark_results[algo],E$30,benchmark_results[n_tracks],$B171,benchmark_results[target_s],$C171))</f>
        <v>TO</v>
      </c>
      <c r="F171" s="10">
        <f>IF(COUNTIFS(benchmark_results[round],$A171,benchmark_results[algo],F$30,benchmark_results[n_tracks],$B171,benchmark_results[target_s],$C171,benchmark_results[timed_out],TRUE)=1,"TO",SUMIFS(benchmark_results[runtime_s],benchmark_results[round],$A171,benchmark_results[algo],F$30,benchmark_results[n_tracks],$B171,benchmark_results[target_s],$C171))</f>
        <v>6.8843799992464483E-2</v>
      </c>
      <c r="G171" s="10">
        <f>IF(COUNTIFS(benchmark_results[round],$A171,benchmark_results[algo],G$30,benchmark_results[n_tracks],$B171,benchmark_results[target_s],$C171,benchmark_results[timed_out],TRUE)=1,"TO",SUMIFS(benchmark_results[runtime_s],benchmark_results[round],$A171,benchmark_results[algo],G$30,benchmark_results[n_tracks],$B171,benchmark_results[target_s],$C171))</f>
        <v>2.1174199995584786E-2</v>
      </c>
      <c r="H171" s="19">
        <f t="shared" si="9"/>
        <v>3.2513058347809927</v>
      </c>
      <c r="I171" t="str">
        <f t="shared" si="10"/>
        <v>v1</v>
      </c>
      <c r="J171">
        <f>SUMIFS(benchmark_results[gap_s],benchmark_results[round],$A171,benchmark_results[algo],$F$30,benchmark_results[n_tracks],$B171,benchmark_results[target_s],$C171)</f>
        <v>0</v>
      </c>
      <c r="K171">
        <f>SUMIFS(benchmark_results[gap_s],benchmark_results[round],$A171,benchmark_results[algo],$G$30,benchmark_results[n_tracks],$B171,benchmark_results[target_s],$C171)</f>
        <v>0</v>
      </c>
    </row>
    <row r="172" spans="1:11" x14ac:dyDescent="0.3">
      <c r="A172">
        <f t="shared" si="8"/>
        <v>4</v>
      </c>
      <c r="B172" cm="1">
        <f t="array" ref="B172">INDEX('By Size'!$A$5:$A$10,MOD(ROW()-31,6)+1)</f>
        <v>100</v>
      </c>
      <c r="C172" cm="1">
        <f t="array" ref="C172">INDEX('By Target'!$A$5:$A$9,INT(MOD(ROW()-31,30)/6)+1)</f>
        <v>3600</v>
      </c>
      <c r="D172" s="10">
        <f>IF(COUNTIFS(benchmark_results[round],$A172,benchmark_results[algo],D$30,benchmark_results[n_tracks],$B172,benchmark_results[target_s],$C172,benchmark_results[timed_out],TRUE)=1,"TO",SUMIFS(benchmark_results[runtime_s],benchmark_results[round],$A172,benchmark_results[algo],D$30,benchmark_results[n_tracks],$B172,benchmark_results[target_s],$C172))</f>
        <v>1.4069999451749027E-4</v>
      </c>
      <c r="E172" s="10" t="str">
        <f>IF(COUNTIFS(benchmark_results[round],$A172,benchmark_results[algo],E$30,benchmark_results[n_tracks],$B172,benchmark_results[target_s],$C172,benchmark_results[timed_out],TRUE)=1,"TO",SUMIFS(benchmark_results[runtime_s],benchmark_results[round],$A172,benchmark_results[algo],E$30,benchmark_results[n_tracks],$B172,benchmark_results[target_s],$C172))</f>
        <v>TO</v>
      </c>
      <c r="F172" s="10">
        <f>IF(COUNTIFS(benchmark_results[round],$A172,benchmark_results[algo],F$30,benchmark_results[n_tracks],$B172,benchmark_results[target_s],$C172,benchmark_results[timed_out],TRUE)=1,"TO",SUMIFS(benchmark_results[runtime_s],benchmark_results[round],$A172,benchmark_results[algo],F$30,benchmark_results[n_tracks],$B172,benchmark_results[target_s],$C172))</f>
        <v>0.17337689999840222</v>
      </c>
      <c r="G172" s="10">
        <f>IF(COUNTIFS(benchmark_results[round],$A172,benchmark_results[algo],G$30,benchmark_results[n_tracks],$B172,benchmark_results[target_s],$C172,benchmark_results[timed_out],TRUE)=1,"TO",SUMIFS(benchmark_results[runtime_s],benchmark_results[round],$A172,benchmark_results[algo],G$30,benchmark_results[n_tracks],$B172,benchmark_results[target_s],$C172))</f>
        <v>6.1018799999146722E-2</v>
      </c>
      <c r="H172" s="19">
        <f t="shared" si="9"/>
        <v>2.8413685618338396</v>
      </c>
      <c r="I172" t="str">
        <f t="shared" si="10"/>
        <v>v1</v>
      </c>
      <c r="J172">
        <f>SUMIFS(benchmark_results[gap_s],benchmark_results[round],$A172,benchmark_results[algo],$F$30,benchmark_results[n_tracks],$B172,benchmark_results[target_s],$C172)</f>
        <v>0</v>
      </c>
      <c r="K172">
        <f>SUMIFS(benchmark_results[gap_s],benchmark_results[round],$A172,benchmark_results[algo],$G$30,benchmark_results[n_tracks],$B172,benchmark_results[target_s],$C172)</f>
        <v>0</v>
      </c>
    </row>
    <row r="173" spans="1:11" x14ac:dyDescent="0.3">
      <c r="A173">
        <f t="shared" si="8"/>
        <v>4</v>
      </c>
      <c r="B173" cm="1">
        <f t="array" ref="B173">INDEX('By Size'!$A$5:$A$10,MOD(ROW()-31,6)+1)</f>
        <v>200</v>
      </c>
      <c r="C173" cm="1">
        <f t="array" ref="C173">INDEX('By Target'!$A$5:$A$9,INT(MOD(ROW()-31,30)/6)+1)</f>
        <v>3600</v>
      </c>
      <c r="D173" s="10">
        <f>IF(COUNTIFS(benchmark_results[round],$A173,benchmark_results[algo],D$30,benchmark_results[n_tracks],$B173,benchmark_results[target_s],$C173,benchmark_results[timed_out],TRUE)=1,"TO",SUMIFS(benchmark_results[runtime_s],benchmark_results[round],$A173,benchmark_results[algo],D$30,benchmark_results[n_tracks],$B173,benchmark_results[target_s],$C173))</f>
        <v>1.1366999970050529E-3</v>
      </c>
      <c r="E173" s="10" t="str">
        <f>IF(COUNTIFS(benchmark_results[round],$A173,benchmark_results[algo],E$30,benchmark_results[n_tracks],$B173,benchmark_results[target_s],$C173,benchmark_results[timed_out],TRUE)=1,"TO",SUMIFS(benchmark_results[runtime_s],benchmark_results[round],$A173,benchmark_results[algo],E$30,benchmark_results[n_tracks],$B173,benchmark_results[target_s],$C173))</f>
        <v>TO</v>
      </c>
      <c r="F173" s="10">
        <f>IF(COUNTIFS(benchmark_results[round],$A173,benchmark_results[algo],F$30,benchmark_results[n_tracks],$B173,benchmark_results[target_s],$C173,benchmark_results[timed_out],TRUE)=1,"TO",SUMIFS(benchmark_results[runtime_s],benchmark_results[round],$A173,benchmark_results[algo],F$30,benchmark_results[n_tracks],$B173,benchmark_results[target_s],$C173))</f>
        <v>0.44278450000274461</v>
      </c>
      <c r="G173" s="10">
        <f>IF(COUNTIFS(benchmark_results[round],$A173,benchmark_results[algo],G$30,benchmark_results[n_tracks],$B173,benchmark_results[target_s],$C173,benchmark_results[timed_out],TRUE)=1,"TO",SUMIFS(benchmark_results[runtime_s],benchmark_results[round],$A173,benchmark_results[algo],G$30,benchmark_results[n_tracks],$B173,benchmark_results[target_s],$C173))</f>
        <v>0.15541720000328496</v>
      </c>
      <c r="H173" s="19">
        <f t="shared" si="9"/>
        <v>2.8490057728062643</v>
      </c>
      <c r="I173" t="str">
        <f t="shared" si="10"/>
        <v>v1</v>
      </c>
      <c r="J173">
        <f>SUMIFS(benchmark_results[gap_s],benchmark_results[round],$A173,benchmark_results[algo],$F$30,benchmark_results[n_tracks],$B173,benchmark_results[target_s],$C173)</f>
        <v>0</v>
      </c>
      <c r="K173">
        <f>SUMIFS(benchmark_results[gap_s],benchmark_results[round],$A173,benchmark_results[algo],$G$30,benchmark_results[n_tracks],$B173,benchmark_results[target_s],$C173)</f>
        <v>0</v>
      </c>
    </row>
    <row r="174" spans="1:11" x14ac:dyDescent="0.3">
      <c r="A174">
        <f t="shared" si="8"/>
        <v>4</v>
      </c>
      <c r="B174" cm="1">
        <f t="array" ref="B174">INDEX('By Size'!$A$5:$A$10,MOD(ROW()-31,6)+1)</f>
        <v>400</v>
      </c>
      <c r="C174" cm="1">
        <f t="array" ref="C174">INDEX('By Target'!$A$5:$A$9,INT(MOD(ROW()-31,30)/6)+1)</f>
        <v>3600</v>
      </c>
      <c r="D174" s="10">
        <f>IF(COUNTIFS(benchmark_results[round],$A174,benchmark_results[algo],D$30,benchmark_results[n_tracks],$B174,benchmark_results[target_s],$C174,benchmark_results[timed_out],TRUE)=1,"TO",SUMIFS(benchmark_results[runtime_s],benchmark_results[round],$A174,benchmark_results[algo],D$30,benchmark_results[n_tracks],$B174,benchmark_results[target_s],$C174))</f>
        <v>1.2060000153724104E-4</v>
      </c>
      <c r="E174" s="10" t="str">
        <f>IF(COUNTIFS(benchmark_results[round],$A174,benchmark_results[algo],E$30,benchmark_results[n_tracks],$B174,benchmark_results[target_s],$C174,benchmark_results[timed_out],TRUE)=1,"TO",SUMIFS(benchmark_results[runtime_s],benchmark_results[round],$A174,benchmark_results[algo],E$30,benchmark_results[n_tracks],$B174,benchmark_results[target_s],$C174))</f>
        <v>TO</v>
      </c>
      <c r="F174" s="10">
        <f>IF(COUNTIFS(benchmark_results[round],$A174,benchmark_results[algo],F$30,benchmark_results[n_tracks],$B174,benchmark_results[target_s],$C174,benchmark_results[timed_out],TRUE)=1,"TO",SUMIFS(benchmark_results[runtime_s],benchmark_results[round],$A174,benchmark_results[algo],F$30,benchmark_results[n_tracks],$B174,benchmark_results[target_s],$C174))</f>
        <v>0.88144189999729861</v>
      </c>
      <c r="G174" s="10">
        <f>IF(COUNTIFS(benchmark_results[round],$A174,benchmark_results[algo],G$30,benchmark_results[n_tracks],$B174,benchmark_results[target_s],$C174,benchmark_results[timed_out],TRUE)=1,"TO",SUMIFS(benchmark_results[runtime_s],benchmark_results[round],$A174,benchmark_results[algo],G$30,benchmark_results[n_tracks],$B174,benchmark_results[target_s],$C174))</f>
        <v>0.28025729999353644</v>
      </c>
      <c r="H174" s="19">
        <f t="shared" si="9"/>
        <v>3.1451166482287074</v>
      </c>
      <c r="I174" t="str">
        <f t="shared" si="10"/>
        <v>v1</v>
      </c>
      <c r="J174">
        <f>SUMIFS(benchmark_results[gap_s],benchmark_results[round],$A174,benchmark_results[algo],$F$30,benchmark_results[n_tracks],$B174,benchmark_results[target_s],$C174)</f>
        <v>0</v>
      </c>
      <c r="K174">
        <f>SUMIFS(benchmark_results[gap_s],benchmark_results[round],$A174,benchmark_results[algo],$G$30,benchmark_results[n_tracks],$B174,benchmark_results[target_s],$C174)</f>
        <v>0</v>
      </c>
    </row>
    <row r="175" spans="1:11" x14ac:dyDescent="0.3">
      <c r="A175">
        <f t="shared" si="8"/>
        <v>4</v>
      </c>
      <c r="B175" cm="1">
        <f t="array" ref="B175">INDEX('By Size'!$A$5:$A$10,MOD(ROW()-31,6)+1)</f>
        <v>10</v>
      </c>
      <c r="C175" cm="1">
        <f t="array" ref="C175">INDEX('By Target'!$A$5:$A$9,INT(MOD(ROW()-31,30)/6)+1)</f>
        <v>7200</v>
      </c>
      <c r="D175" s="10">
        <f>IF(COUNTIFS(benchmark_results[round],$A175,benchmark_results[algo],D$30,benchmark_results[n_tracks],$B175,benchmark_results[target_s],$C175,benchmark_results[timed_out],TRUE)=1,"TO",SUMIFS(benchmark_results[runtime_s],benchmark_results[round],$A175,benchmark_results[algo],D$30,benchmark_results[n_tracks],$B175,benchmark_results[target_s],$C175))</f>
        <v>3.2100011594593525E-5</v>
      </c>
      <c r="E175" s="10">
        <f>IF(COUNTIFS(benchmark_results[round],$A175,benchmark_results[algo],E$30,benchmark_results[n_tracks],$B175,benchmark_results[target_s],$C175,benchmark_results[timed_out],TRUE)=1,"TO",SUMIFS(benchmark_results[runtime_s],benchmark_results[round],$A175,benchmark_results[algo],E$30,benchmark_results[n_tracks],$B175,benchmark_results[target_s],$C175))</f>
        <v>5.5389999761246145E-4</v>
      </c>
      <c r="F175" s="10">
        <f>IF(COUNTIFS(benchmark_results[round],$A175,benchmark_results[algo],F$30,benchmark_results[n_tracks],$B175,benchmark_results[target_s],$C175,benchmark_results[timed_out],TRUE)=1,"TO",SUMIFS(benchmark_results[runtime_s],benchmark_results[round],$A175,benchmark_results[algo],F$30,benchmark_results[n_tracks],$B175,benchmark_results[target_s],$C175))</f>
        <v>3.8669999048579484E-4</v>
      </c>
      <c r="G175" s="10">
        <f>IF(COUNTIFS(benchmark_results[round],$A175,benchmark_results[algo],G$30,benchmark_results[n_tracks],$B175,benchmark_results[target_s],$C175,benchmark_results[timed_out],TRUE)=1,"TO",SUMIFS(benchmark_results[runtime_s],benchmark_results[round],$A175,benchmark_results[algo],G$30,benchmark_results[n_tracks],$B175,benchmark_results[target_s],$C175))</f>
        <v>3.2640001154504716E-4</v>
      </c>
      <c r="H175" s="19">
        <f t="shared" si="9"/>
        <v>1.1847425760045525</v>
      </c>
      <c r="I175" t="str">
        <f t="shared" si="10"/>
        <v>v1</v>
      </c>
      <c r="J175">
        <f>SUMIFS(benchmark_results[gap_s],benchmark_results[round],$A175,benchmark_results[algo],$F$30,benchmark_results[n_tracks],$B175,benchmark_results[target_s],$C175)</f>
        <v>5213</v>
      </c>
      <c r="K175">
        <f>SUMIFS(benchmark_results[gap_s],benchmark_results[round],$A175,benchmark_results[algo],$G$30,benchmark_results[n_tracks],$B175,benchmark_results[target_s],$C175)</f>
        <v>4947</v>
      </c>
    </row>
    <row r="176" spans="1:11" x14ac:dyDescent="0.3">
      <c r="A176">
        <f t="shared" si="8"/>
        <v>4</v>
      </c>
      <c r="B176" cm="1">
        <f t="array" ref="B176">INDEX('By Size'!$A$5:$A$10,MOD(ROW()-31,6)+1)</f>
        <v>30</v>
      </c>
      <c r="C176" cm="1">
        <f t="array" ref="C176">INDEX('By Target'!$A$5:$A$9,INT(MOD(ROW()-31,30)/6)+1)</f>
        <v>7200</v>
      </c>
      <c r="D176" s="10">
        <f>IF(COUNTIFS(benchmark_results[round],$A176,benchmark_results[algo],D$30,benchmark_results[n_tracks],$B176,benchmark_results[target_s],$C176,benchmark_results[timed_out],TRUE)=1,"TO",SUMIFS(benchmark_results[runtime_s],benchmark_results[round],$A176,benchmark_results[algo],D$30,benchmark_results[n_tracks],$B176,benchmark_results[target_s],$C176))</f>
        <v>1.235999952768907E-4</v>
      </c>
      <c r="E176" s="10" t="str">
        <f>IF(COUNTIFS(benchmark_results[round],$A176,benchmark_results[algo],E$30,benchmark_results[n_tracks],$B176,benchmark_results[target_s],$C176,benchmark_results[timed_out],TRUE)=1,"TO",SUMIFS(benchmark_results[runtime_s],benchmark_results[round],$A176,benchmark_results[algo],E$30,benchmark_results[n_tracks],$B176,benchmark_results[target_s],$C176))</f>
        <v>TO</v>
      </c>
      <c r="F176" s="10">
        <f>IF(COUNTIFS(benchmark_results[round],$A176,benchmark_results[algo],F$30,benchmark_results[n_tracks],$B176,benchmark_results[target_s],$C176,benchmark_results[timed_out],TRUE)=1,"TO",SUMIFS(benchmark_results[runtime_s],benchmark_results[round],$A176,benchmark_results[algo],F$30,benchmark_results[n_tracks],$B176,benchmark_results[target_s],$C176))</f>
        <v>4.4937699989532121E-2</v>
      </c>
      <c r="G176" s="10">
        <f>IF(COUNTIFS(benchmark_results[round],$A176,benchmark_results[algo],G$30,benchmark_results[n_tracks],$B176,benchmark_results[target_s],$C176,benchmark_results[timed_out],TRUE)=1,"TO",SUMIFS(benchmark_results[runtime_s],benchmark_results[round],$A176,benchmark_results[algo],G$30,benchmark_results[n_tracks],$B176,benchmark_results[target_s],$C176))</f>
        <v>1.6115099992020987E-2</v>
      </c>
      <c r="H176" s="19">
        <f t="shared" si="9"/>
        <v>2.7885461468921675</v>
      </c>
      <c r="I176" t="str">
        <f t="shared" si="10"/>
        <v>v1</v>
      </c>
      <c r="J176">
        <f>SUMIFS(benchmark_results[gap_s],benchmark_results[round],$A176,benchmark_results[algo],$F$30,benchmark_results[n_tracks],$B176,benchmark_results[target_s],$C176)</f>
        <v>1</v>
      </c>
      <c r="K176">
        <f>SUMIFS(benchmark_results[gap_s],benchmark_results[round],$A176,benchmark_results[algo],$G$30,benchmark_results[n_tracks],$B176,benchmark_results[target_s],$C176)</f>
        <v>0</v>
      </c>
    </row>
    <row r="177" spans="1:11" x14ac:dyDescent="0.3">
      <c r="A177">
        <f t="shared" si="8"/>
        <v>4</v>
      </c>
      <c r="B177" cm="1">
        <f t="array" ref="B177">INDEX('By Size'!$A$5:$A$10,MOD(ROW()-31,6)+1)</f>
        <v>50</v>
      </c>
      <c r="C177" cm="1">
        <f t="array" ref="C177">INDEX('By Target'!$A$5:$A$9,INT(MOD(ROW()-31,30)/6)+1)</f>
        <v>7200</v>
      </c>
      <c r="D177" s="10">
        <f>IF(COUNTIFS(benchmark_results[round],$A177,benchmark_results[algo],D$30,benchmark_results[n_tracks],$B177,benchmark_results[target_s],$C177,benchmark_results[timed_out],TRUE)=1,"TO",SUMIFS(benchmark_results[runtime_s],benchmark_results[round],$A177,benchmark_results[algo],D$30,benchmark_results[n_tracks],$B177,benchmark_results[target_s],$C177))</f>
        <v>1.5690000145696104E-4</v>
      </c>
      <c r="E177" s="10" t="str">
        <f>IF(COUNTIFS(benchmark_results[round],$A177,benchmark_results[algo],E$30,benchmark_results[n_tracks],$B177,benchmark_results[target_s],$C177,benchmark_results[timed_out],TRUE)=1,"TO",SUMIFS(benchmark_results[runtime_s],benchmark_results[round],$A177,benchmark_results[algo],E$30,benchmark_results[n_tracks],$B177,benchmark_results[target_s],$C177))</f>
        <v>TO</v>
      </c>
      <c r="F177" s="10">
        <f>IF(COUNTIFS(benchmark_results[round],$A177,benchmark_results[algo],F$30,benchmark_results[n_tracks],$B177,benchmark_results[target_s],$C177,benchmark_results[timed_out],TRUE)=1,"TO",SUMIFS(benchmark_results[runtime_s],benchmark_results[round],$A177,benchmark_results[algo],F$30,benchmark_results[n_tracks],$B177,benchmark_results[target_s],$C177))</f>
        <v>0.16940270000486635</v>
      </c>
      <c r="G177" s="10">
        <f>IF(COUNTIFS(benchmark_results[round],$A177,benchmark_results[algo],G$30,benchmark_results[n_tracks],$B177,benchmark_results[target_s],$C177,benchmark_results[timed_out],TRUE)=1,"TO",SUMIFS(benchmark_results[runtime_s],benchmark_results[round],$A177,benchmark_results[algo],G$30,benchmark_results[n_tracks],$B177,benchmark_results[target_s],$C177))</f>
        <v>5.5624500004341826E-2</v>
      </c>
      <c r="H177" s="19">
        <f t="shared" si="9"/>
        <v>3.0454691726063774</v>
      </c>
      <c r="I177" t="str">
        <f t="shared" si="10"/>
        <v>v1</v>
      </c>
      <c r="J177">
        <f>SUMIFS(benchmark_results[gap_s],benchmark_results[round],$A177,benchmark_results[algo],$F$30,benchmark_results[n_tracks],$B177,benchmark_results[target_s],$C177)</f>
        <v>0</v>
      </c>
      <c r="K177">
        <f>SUMIFS(benchmark_results[gap_s],benchmark_results[round],$A177,benchmark_results[algo],$G$30,benchmark_results[n_tracks],$B177,benchmark_results[target_s],$C177)</f>
        <v>0</v>
      </c>
    </row>
    <row r="178" spans="1:11" x14ac:dyDescent="0.3">
      <c r="A178">
        <f t="shared" si="8"/>
        <v>4</v>
      </c>
      <c r="B178" cm="1">
        <f t="array" ref="B178">INDEX('By Size'!$A$5:$A$10,MOD(ROW()-31,6)+1)</f>
        <v>100</v>
      </c>
      <c r="C178" cm="1">
        <f t="array" ref="C178">INDEX('By Target'!$A$5:$A$9,INT(MOD(ROW()-31,30)/6)+1)</f>
        <v>7200</v>
      </c>
      <c r="D178" s="10">
        <f>IF(COUNTIFS(benchmark_results[round],$A178,benchmark_results[algo],D$30,benchmark_results[n_tracks],$B178,benchmark_results[target_s],$C178,benchmark_results[timed_out],TRUE)=1,"TO",SUMIFS(benchmark_results[runtime_s],benchmark_results[round],$A178,benchmark_results[algo],D$30,benchmark_results[n_tracks],$B178,benchmark_results[target_s],$C178))</f>
        <v>3.8250000216066837E-4</v>
      </c>
      <c r="E178" s="10" t="str">
        <f>IF(COUNTIFS(benchmark_results[round],$A178,benchmark_results[algo],E$30,benchmark_results[n_tracks],$B178,benchmark_results[target_s],$C178,benchmark_results[timed_out],TRUE)=1,"TO",SUMIFS(benchmark_results[runtime_s],benchmark_results[round],$A178,benchmark_results[algo],E$30,benchmark_results[n_tracks],$B178,benchmark_results[target_s],$C178))</f>
        <v>TO</v>
      </c>
      <c r="F178" s="10">
        <f>IF(COUNTIFS(benchmark_results[round],$A178,benchmark_results[algo],F$30,benchmark_results[n_tracks],$B178,benchmark_results[target_s],$C178,benchmark_results[timed_out],TRUE)=1,"TO",SUMIFS(benchmark_results[runtime_s],benchmark_results[round],$A178,benchmark_results[algo],F$30,benchmark_results[n_tracks],$B178,benchmark_results[target_s],$C178))</f>
        <v>0.47642910000286065</v>
      </c>
      <c r="G178" s="10">
        <f>IF(COUNTIFS(benchmark_results[round],$A178,benchmark_results[algo],G$30,benchmark_results[n_tracks],$B178,benchmark_results[target_s],$C178,benchmark_results[timed_out],TRUE)=1,"TO",SUMIFS(benchmark_results[runtime_s],benchmark_results[round],$A178,benchmark_results[algo],G$30,benchmark_results[n_tracks],$B178,benchmark_results[target_s],$C178))</f>
        <v>0.16100860000005923</v>
      </c>
      <c r="H178" s="19">
        <f t="shared" si="9"/>
        <v>2.9590288966097797</v>
      </c>
      <c r="I178" t="str">
        <f t="shared" si="10"/>
        <v>v1</v>
      </c>
      <c r="J178">
        <f>SUMIFS(benchmark_results[gap_s],benchmark_results[round],$A178,benchmark_results[algo],$F$30,benchmark_results[n_tracks],$B178,benchmark_results[target_s],$C178)</f>
        <v>0</v>
      </c>
      <c r="K178">
        <f>SUMIFS(benchmark_results[gap_s],benchmark_results[round],$A178,benchmark_results[algo],$G$30,benchmark_results[n_tracks],$B178,benchmark_results[target_s],$C178)</f>
        <v>0</v>
      </c>
    </row>
    <row r="179" spans="1:11" x14ac:dyDescent="0.3">
      <c r="A179">
        <f t="shared" si="8"/>
        <v>4</v>
      </c>
      <c r="B179" cm="1">
        <f t="array" ref="B179">INDEX('By Size'!$A$5:$A$10,MOD(ROW()-31,6)+1)</f>
        <v>200</v>
      </c>
      <c r="C179" cm="1">
        <f t="array" ref="C179">INDEX('By Target'!$A$5:$A$9,INT(MOD(ROW()-31,30)/6)+1)</f>
        <v>7200</v>
      </c>
      <c r="D179" s="10">
        <f>IF(COUNTIFS(benchmark_results[round],$A179,benchmark_results[algo],D$30,benchmark_results[n_tracks],$B179,benchmark_results[target_s],$C179,benchmark_results[timed_out],TRUE)=1,"TO",SUMIFS(benchmark_results[runtime_s],benchmark_results[round],$A179,benchmark_results[algo],D$30,benchmark_results[n_tracks],$B179,benchmark_results[target_s],$C179))</f>
        <v>1.1962000135099515E-3</v>
      </c>
      <c r="E179" s="10" t="str">
        <f>IF(COUNTIFS(benchmark_results[round],$A179,benchmark_results[algo],E$30,benchmark_results[n_tracks],$B179,benchmark_results[target_s],$C179,benchmark_results[timed_out],TRUE)=1,"TO",SUMIFS(benchmark_results[runtime_s],benchmark_results[round],$A179,benchmark_results[algo],E$30,benchmark_results[n_tracks],$B179,benchmark_results[target_s],$C179))</f>
        <v>TO</v>
      </c>
      <c r="F179" s="10">
        <f>IF(COUNTIFS(benchmark_results[round],$A179,benchmark_results[algo],F$30,benchmark_results[n_tracks],$B179,benchmark_results[target_s],$C179,benchmark_results[timed_out],TRUE)=1,"TO",SUMIFS(benchmark_results[runtime_s],benchmark_results[round],$A179,benchmark_results[algo],F$30,benchmark_results[n_tracks],$B179,benchmark_results[target_s],$C179))</f>
        <v>1.0469597999908729</v>
      </c>
      <c r="G179" s="10">
        <f>IF(COUNTIFS(benchmark_results[round],$A179,benchmark_results[algo],G$30,benchmark_results[n_tracks],$B179,benchmark_results[target_s],$C179,benchmark_results[timed_out],TRUE)=1,"TO",SUMIFS(benchmark_results[runtime_s],benchmark_results[round],$A179,benchmark_results[algo],G$30,benchmark_results[n_tracks],$B179,benchmark_results[target_s],$C179))</f>
        <v>0.3606253000034485</v>
      </c>
      <c r="H179" s="19">
        <f t="shared" si="9"/>
        <v>2.9031790059678597</v>
      </c>
      <c r="I179" t="str">
        <f t="shared" si="10"/>
        <v>v1</v>
      </c>
      <c r="J179">
        <f>SUMIFS(benchmark_results[gap_s],benchmark_results[round],$A179,benchmark_results[algo],$F$30,benchmark_results[n_tracks],$B179,benchmark_results[target_s],$C179)</f>
        <v>0</v>
      </c>
      <c r="K179">
        <f>SUMIFS(benchmark_results[gap_s],benchmark_results[round],$A179,benchmark_results[algo],$G$30,benchmark_results[n_tracks],$B179,benchmark_results[target_s],$C179)</f>
        <v>0</v>
      </c>
    </row>
    <row r="180" spans="1:11" x14ac:dyDescent="0.3">
      <c r="A180">
        <f t="shared" si="8"/>
        <v>4</v>
      </c>
      <c r="B180" cm="1">
        <f t="array" ref="B180">INDEX('By Size'!$A$5:$A$10,MOD(ROW()-31,6)+1)</f>
        <v>400</v>
      </c>
      <c r="C180" cm="1">
        <f t="array" ref="C180">INDEX('By Target'!$A$5:$A$9,INT(MOD(ROW()-31,30)/6)+1)</f>
        <v>7200</v>
      </c>
      <c r="D180" s="10">
        <f>IF(COUNTIFS(benchmark_results[round],$A180,benchmark_results[algo],D$30,benchmark_results[n_tracks],$B180,benchmark_results[target_s],$C180,benchmark_results[timed_out],TRUE)=1,"TO",SUMIFS(benchmark_results[runtime_s],benchmark_results[round],$A180,benchmark_results[algo],D$30,benchmark_results[n_tracks],$B180,benchmark_results[target_s],$C180))</f>
        <v>1.073000006726943E-3</v>
      </c>
      <c r="E180" s="10" t="str">
        <f>IF(COUNTIFS(benchmark_results[round],$A180,benchmark_results[algo],E$30,benchmark_results[n_tracks],$B180,benchmark_results[target_s],$C180,benchmark_results[timed_out],TRUE)=1,"TO",SUMIFS(benchmark_results[runtime_s],benchmark_results[round],$A180,benchmark_results[algo],E$30,benchmark_results[n_tracks],$B180,benchmark_results[target_s],$C180))</f>
        <v>TO</v>
      </c>
      <c r="F180" s="10">
        <f>IF(COUNTIFS(benchmark_results[round],$A180,benchmark_results[algo],F$30,benchmark_results[n_tracks],$B180,benchmark_results[target_s],$C180,benchmark_results[timed_out],TRUE)=1,"TO",SUMIFS(benchmark_results[runtime_s],benchmark_results[round],$A180,benchmark_results[algo],F$30,benchmark_results[n_tracks],$B180,benchmark_results[target_s],$C180))</f>
        <v>2.4158162999956403</v>
      </c>
      <c r="G180" s="10">
        <f>IF(COUNTIFS(benchmark_results[round],$A180,benchmark_results[algo],G$30,benchmark_results[n_tracks],$B180,benchmark_results[target_s],$C180,benchmark_results[timed_out],TRUE)=1,"TO",SUMIFS(benchmark_results[runtime_s],benchmark_results[round],$A180,benchmark_results[algo],G$30,benchmark_results[n_tracks],$B180,benchmark_results[target_s],$C180))</f>
        <v>0.82749790001253132</v>
      </c>
      <c r="H180" s="19">
        <f t="shared" si="9"/>
        <v>2.919422877035768</v>
      </c>
      <c r="I180" t="str">
        <f t="shared" si="10"/>
        <v>v1</v>
      </c>
      <c r="J180">
        <f>SUMIFS(benchmark_results[gap_s],benchmark_results[round],$A180,benchmark_results[algo],$F$30,benchmark_results[n_tracks],$B180,benchmark_results[target_s],$C180)</f>
        <v>0</v>
      </c>
      <c r="K180">
        <f>SUMIFS(benchmark_results[gap_s],benchmark_results[round],$A180,benchmark_results[algo],$G$30,benchmark_results[n_tracks],$B180,benchmark_results[target_s],$C180)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6BDD75-2FF7-4244-AB6B-A732943EEA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benchmark_results</vt:lpstr>
      <vt:lpstr>Summary</vt:lpstr>
      <vt:lpstr>By Size</vt:lpstr>
      <vt:lpstr>By Target</vt:lpstr>
      <vt:lpstr>Quality &amp; Stability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Nedellec</dc:creator>
  <cp:lastModifiedBy>Pierre Nedellec</cp:lastModifiedBy>
  <dcterms:created xsi:type="dcterms:W3CDTF">2015-06-05T18:17:20Z</dcterms:created>
  <dcterms:modified xsi:type="dcterms:W3CDTF">2026-09-21T13:52:30Z</dcterms:modified>
</cp:coreProperties>
</file>